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C:\engDev\git_mf\MF_Toolbox\dev\examples\lplan_partL\J6025_PartL_Compliance\"/>
    </mc:Choice>
  </mc:AlternateContent>
  <xr:revisionPtr revIDLastSave="0" documentId="13_ncr:1_{34D88A2A-7AA9-465A-82F2-2CE14B9F5D8E}" xr6:coauthVersionLast="44" xr6:coauthVersionMax="44" xr10:uidLastSave="{00000000-0000-0000-0000-000000000000}"/>
  <bookViews>
    <workbookView xWindow="-103" yWindow="-103" windowWidth="33120" windowHeight="18274" xr2:uid="{00000000-000D-0000-FFFF-FFFF00000000}"/>
  </bookViews>
  <sheets>
    <sheet name="Sheet1" sheetId="9" r:id="rId1"/>
    <sheet name="data_validation" sheetId="2" r:id="rId2"/>
    <sheet name="ref" sheetId="5" r:id="rId3"/>
    <sheet name="Sheet2" sheetId="10" r:id="rId4"/>
    <sheet name="issueHistory" sheetId="11" r:id="rId5"/>
    <sheet name="projectTeam" sheetId="12" r:id="rId6"/>
  </sheets>
  <functionGroups builtInGroupCount="19"/>
  <calcPr calcId="191029" calcMode="manual"/>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T36" i="9" l="1"/>
  <c r="H36" i="9" s="1"/>
  <c r="S37" i="9" l="1"/>
  <c r="S38" i="9" l="1"/>
  <c r="T37" i="9"/>
  <c r="H37" i="9" s="1"/>
  <c r="I5" i="9"/>
  <c r="S39" i="9" l="1"/>
  <c r="T38" i="9"/>
  <c r="H38" i="9" s="1"/>
  <c r="I14" i="9"/>
  <c r="I8" i="9"/>
  <c r="I11" i="9"/>
  <c r="I12" i="9"/>
  <c r="I7" i="9"/>
  <c r="I15" i="9"/>
  <c r="I9" i="9"/>
  <c r="I10" i="9"/>
  <c r="I13" i="9"/>
  <c r="I6" i="9"/>
  <c r="T39" i="9" l="1"/>
  <c r="H39" i="9" s="1"/>
  <c r="S40" i="9"/>
  <c r="T40" i="9" l="1"/>
  <c r="H40" i="9" s="1"/>
  <c r="S41" i="9"/>
  <c r="T41" i="9" l="1"/>
  <c r="H41" i="9" s="1"/>
  <c r="S42" i="9"/>
  <c r="T42" i="9" l="1"/>
  <c r="H42" i="9" s="1"/>
  <c r="S43" i="9"/>
  <c r="T43" i="9" l="1"/>
  <c r="H43" i="9" s="1"/>
  <c r="S44" i="9"/>
  <c r="T44" i="9" l="1"/>
  <c r="H44" i="9" s="1"/>
  <c r="S45" i="9"/>
  <c r="S46" i="9" l="1"/>
  <c r="T45" i="9"/>
  <c r="H45" i="9" s="1"/>
  <c r="S47" i="9" l="1"/>
  <c r="T46" i="9"/>
  <c r="H46" i="9" s="1"/>
  <c r="S48" i="9" l="1"/>
  <c r="T47" i="9"/>
  <c r="H47" i="9" s="1"/>
  <c r="T48" i="9" l="1"/>
  <c r="H48" i="9" s="1"/>
  <c r="S49" i="9"/>
  <c r="T49" i="9" l="1"/>
  <c r="H49" i="9" s="1"/>
  <c r="S50" i="9"/>
  <c r="T50" i="9" l="1"/>
  <c r="H50" i="9" s="1"/>
  <c r="S51" i="9"/>
  <c r="S52" i="9" l="1"/>
  <c r="T51" i="9"/>
  <c r="H51" i="9" s="1"/>
  <c r="T52" i="9" l="1"/>
  <c r="H52" i="9" s="1"/>
  <c r="S53" i="9"/>
  <c r="T53" i="9" l="1"/>
  <c r="H53" i="9" s="1"/>
  <c r="S54" i="9"/>
  <c r="T54" i="9" l="1"/>
  <c r="H54" i="9" s="1"/>
  <c r="S55" i="9"/>
  <c r="T55" i="9" s="1"/>
  <c r="H55" i="9" s="1"/>
</calcChain>
</file>

<file path=xl/sharedStrings.xml><?xml version="1.0" encoding="utf-8"?>
<sst xmlns="http://schemas.openxmlformats.org/spreadsheetml/2006/main" count="518" uniqueCount="225">
  <si>
    <t>description</t>
  </si>
  <si>
    <t>electricity emission factor kgCO2/kWh</t>
  </si>
  <si>
    <t>natural gas emission factor kgCO2/kWh</t>
  </si>
  <si>
    <t>SAP2012</t>
  </si>
  <si>
    <t>Air Permeability (m3/h.m2 @50Pa)</t>
  </si>
  <si>
    <t>na</t>
  </si>
  <si>
    <t>cooling</t>
  </si>
  <si>
    <t>london_plan_run</t>
  </si>
  <si>
    <t>tag</t>
  </si>
  <si>
    <t>header_row</t>
  </si>
  <si>
    <t>carbon factor ref</t>
  </si>
  <si>
    <t>file_prefix</t>
  </si>
  <si>
    <t>follow_links</t>
  </si>
  <si>
    <t>group</t>
  </si>
  <si>
    <t>value_used_in_python_calc?</t>
  </si>
  <si>
    <t>Natural Gas</t>
  </si>
  <si>
    <t>job_no</t>
  </si>
  <si>
    <t>job_name</t>
  </si>
  <si>
    <t>report_params_in_output_summary?</t>
  </si>
  <si>
    <t>SAP_heating_type</t>
  </si>
  <si>
    <t>Community CHP</t>
  </si>
  <si>
    <t>Community Boilers</t>
  </si>
  <si>
    <t>Community waste heat from power station</t>
  </si>
  <si>
    <t>Community heat pump</t>
  </si>
  <si>
    <t>Community geothermal heat source</t>
  </si>
  <si>
    <t>SAP_heating_group</t>
  </si>
  <si>
    <t>Community heating schemes</t>
  </si>
  <si>
    <t>…</t>
  </si>
  <si>
    <t>heat from boilers - mains gas</t>
  </si>
  <si>
    <t>heat from boilers - LPG</t>
  </si>
  <si>
    <t>heat from boilers - oil</t>
  </si>
  <si>
    <t>heat from boilers - B30D</t>
  </si>
  <si>
    <t>heat from boilers - coal</t>
  </si>
  <si>
    <t>heat from electric heat pump</t>
  </si>
  <si>
    <t>heat from boilers - biomass</t>
  </si>
  <si>
    <t>heat from boilers - biogas</t>
  </si>
  <si>
    <t>waste heat from power stations</t>
  </si>
  <si>
    <t>geothermal heat source</t>
  </si>
  <si>
    <t>heat from CHP</t>
  </si>
  <si>
    <t>SAP_heating_fuel</t>
  </si>
  <si>
    <t>heat from CHP - mains gas</t>
  </si>
  <si>
    <t>Fuel type</t>
  </si>
  <si>
    <t>SAP2012 Fuel Carbon Factor (kWh/kgCO2)</t>
  </si>
  <si>
    <t>SAP10 Fuel Carbon Factor (kWh/kgCO2)</t>
  </si>
  <si>
    <t xml:space="preserve">Grid Electricity </t>
  </si>
  <si>
    <t>SAP10</t>
  </si>
  <si>
    <t>ref</t>
  </si>
  <si>
    <t>counter</t>
  </si>
  <si>
    <t>naming model runs →</t>
  </si>
  <si>
    <t>refs and linked files →</t>
  </si>
  <si>
    <r>
      <t xml:space="preserve">refs and linked files </t>
    </r>
    <r>
      <rPr>
        <b/>
        <sz val="18"/>
        <color theme="1"/>
        <rFont val="Calibri"/>
        <family val="2"/>
        <scheme val="minor"/>
      </rPr>
      <t>→</t>
    </r>
  </si>
  <si>
    <r>
      <rPr>
        <b/>
        <sz val="14"/>
        <color theme="1"/>
        <rFont val="Calibri"/>
        <family val="2"/>
        <scheme val="minor"/>
      </rPr>
      <t>naming model runs</t>
    </r>
    <r>
      <rPr>
        <b/>
        <sz val="18"/>
        <color theme="1"/>
        <rFont val="Calibri"/>
        <family val="2"/>
        <scheme val="minor"/>
      </rPr>
      <t xml:space="preserve"> →</t>
    </r>
  </si>
  <si>
    <t>carbon factors →</t>
  </si>
  <si>
    <r>
      <t xml:space="preserve">carbon factors </t>
    </r>
    <r>
      <rPr>
        <b/>
        <sz val="18"/>
        <color theme="1"/>
        <rFont val="Calibri"/>
        <family val="2"/>
        <scheme val="minor"/>
      </rPr>
      <t>→</t>
    </r>
  </si>
  <si>
    <r>
      <t xml:space="preserve">fabric </t>
    </r>
    <r>
      <rPr>
        <b/>
        <sz val="18"/>
        <color theme="1"/>
        <rFont val="Calibri"/>
        <family val="2"/>
        <scheme val="minor"/>
      </rPr>
      <t>→</t>
    </r>
  </si>
  <si>
    <t>fabric →</t>
  </si>
  <si>
    <r>
      <t xml:space="preserve">vent </t>
    </r>
    <r>
      <rPr>
        <b/>
        <sz val="18"/>
        <color theme="1"/>
        <rFont val="Calibri"/>
        <family val="2"/>
        <scheme val="minor"/>
      </rPr>
      <t>→</t>
    </r>
  </si>
  <si>
    <r>
      <t xml:space="preserve">heat &amp; dhw </t>
    </r>
    <r>
      <rPr>
        <b/>
        <sz val="18"/>
        <color theme="1"/>
        <rFont val="Calibri"/>
        <family val="2"/>
        <scheme val="minor"/>
      </rPr>
      <t>→</t>
    </r>
  </si>
  <si>
    <t>vent →</t>
  </si>
  <si>
    <r>
      <t xml:space="preserve">cooling </t>
    </r>
    <r>
      <rPr>
        <b/>
        <sz val="18"/>
        <color theme="1"/>
        <rFont val="Calibri"/>
        <family val="2"/>
        <scheme val="minor"/>
      </rPr>
      <t>→</t>
    </r>
  </si>
  <si>
    <t>cooling →</t>
  </si>
  <si>
    <r>
      <t xml:space="preserve">PV </t>
    </r>
    <r>
      <rPr>
        <b/>
        <sz val="18"/>
        <color theme="1"/>
        <rFont val="Calibri"/>
        <family val="2"/>
        <scheme val="minor"/>
      </rPr>
      <t>→</t>
    </r>
  </si>
  <si>
    <t>PV →</t>
  </si>
  <si>
    <t>meta</t>
  </si>
  <si>
    <t>model_run</t>
  </si>
  <si>
    <t>details  →</t>
  </si>
  <si>
    <t>setup</t>
  </si>
  <si>
    <t>Electric underfloor heating</t>
  </si>
  <si>
    <t>Electric</t>
  </si>
  <si>
    <t>lean</t>
  </si>
  <si>
    <t>clean</t>
  </si>
  <si>
    <t>green</t>
  </si>
  <si>
    <t>analysis_description</t>
  </si>
  <si>
    <t>00_Reference</t>
  </si>
  <si>
    <t>05_ModelFiles</t>
  </si>
  <si>
    <t>06a_Outputs_ModelData</t>
  </si>
  <si>
    <t>06b_Outputs_ProcessedData</t>
  </si>
  <si>
    <t>06c_Outputs_Img</t>
  </si>
  <si>
    <t>06d_Outputs_Reports</t>
  </si>
  <si>
    <t>01_IncomingInfo</t>
  </si>
  <si>
    <t>rootdir</t>
  </si>
  <si>
    <t>heating description</t>
  </si>
  <si>
    <t>dhw description</t>
  </si>
  <si>
    <t>cooling description</t>
  </si>
  <si>
    <t>tag1</t>
  </si>
  <si>
    <t>20160818-planning</t>
  </si>
  <si>
    <t>BeLean model prepared by AG for the Energy Statement in 201608. Updated to the new version of IES.</t>
  </si>
  <si>
    <t>BeGreen model prepared by AG for the Energy Statement in 201608. Updated to the new version of IES.</t>
  </si>
  <si>
    <t>IesVersion</t>
  </si>
  <si>
    <t>BER_kgCO2/(m2.yr)</t>
  </si>
  <si>
    <t>TER_kgCO2/(m2.yr)</t>
  </si>
  <si>
    <t xml:space="preserve">BeClean model prepared by AG for the Energy Statement in 201608. Updated to the new version of IES. Boilers powering FCUs. </t>
  </si>
  <si>
    <t>Shading Factor</t>
  </si>
  <si>
    <t>Azimuth (deg from North)</t>
  </si>
  <si>
    <t>Inclination (deg from horizontal)</t>
  </si>
  <si>
    <t>PV Area (m2)</t>
  </si>
  <si>
    <t>module nominal efficiency</t>
  </si>
  <si>
    <t>CHP - 38kw, Boilers for remaining load</t>
  </si>
  <si>
    <t>Boilers</t>
  </si>
  <si>
    <t>ASHP cooling to Gym, Fitness Studios and server room. SSEER=3.2, pump&amp;fan = 10% of rejected heat</t>
  </si>
  <si>
    <t>in gbxml</t>
  </si>
  <si>
    <t>fabric uvals/gvals</t>
  </si>
  <si>
    <t>fabric description</t>
  </si>
  <si>
    <t xml:space="preserve">New fabric insulated to a high standard. Existing Fabric improved with increased insulation and improved air-tightness. </t>
  </si>
  <si>
    <t>ashp</t>
  </si>
  <si>
    <t>Air Source Heat Pump heating</t>
  </si>
  <si>
    <t>Air Source Heat Pump domestic hot water</t>
  </si>
  <si>
    <t>pv description</t>
  </si>
  <si>
    <t>no PV</t>
  </si>
  <si>
    <t>solar thermal →</t>
  </si>
  <si>
    <t>solar thermal description</t>
  </si>
  <si>
    <t>no solar thermal</t>
  </si>
  <si>
    <t xml:space="preserve">123m2 PV-T mounted on the sawtooth roof of the Gym. 156m2 standard PV on the flat roof-canopy.  </t>
  </si>
  <si>
    <t>123m2 PV-T mounted on the sawtooth roof of the Gym</t>
  </si>
  <si>
    <t xml:space="preserve">ASHP for heating, cooling and DHW. PV-T on sawtooth roof and PV on flat-canopy roof. </t>
  </si>
  <si>
    <t>dhw →</t>
  </si>
  <si>
    <t>heat →</t>
  </si>
  <si>
    <t>mitsubishi ecodan CAHV-P500YA-HPB</t>
  </si>
  <si>
    <t>heating SCoP</t>
  </si>
  <si>
    <t>heating SCoP ref</t>
  </si>
  <si>
    <t>dhw SCoP</t>
  </si>
  <si>
    <t>dhw SCoP ref</t>
  </si>
  <si>
    <t>mitsubishi q-ton</t>
  </si>
  <si>
    <t xml:space="preserve"> </t>
  </si>
  <si>
    <t>ashp-no PV-T</t>
  </si>
  <si>
    <t xml:space="preserve">156m2 standard PV on the flat roof-canopy.  </t>
  </si>
  <si>
    <t>SSEER</t>
  </si>
  <si>
    <t>SEER</t>
  </si>
  <si>
    <t>EER</t>
  </si>
  <si>
    <t>Delivery Efficiency</t>
  </si>
  <si>
    <t>Be Lean</t>
  </si>
  <si>
    <t>Be Clean</t>
  </si>
  <si>
    <t>Be Green</t>
  </si>
  <si>
    <t>02_InputData</t>
  </si>
  <si>
    <t>03_CAD</t>
  </si>
  <si>
    <t>04_Calcs</t>
  </si>
  <si>
    <t>ashp-boiler-no PV-T</t>
  </si>
  <si>
    <t>Gym, Studios: mixed mode (mvhr+natvent+cooling), 
ChangingRooms, Cafe: mixed mode (mvhr+natvent),
Plant, Stores, Foyer, Office: nat vent only</t>
  </si>
  <si>
    <t>solar thermal area (m2)</t>
  </si>
  <si>
    <t>lighting →</t>
  </si>
  <si>
    <t>lighting description</t>
  </si>
  <si>
    <t>lighting efficiency (W/m2.100lux)</t>
  </si>
  <si>
    <t>lighting controls description</t>
  </si>
  <si>
    <t>auxilliary →</t>
  </si>
  <si>
    <t>improved-fabric</t>
  </si>
  <si>
    <t>LondonTRY05.fwt</t>
  </si>
  <si>
    <t>cooling ref</t>
  </si>
  <si>
    <t>J:\J6025\Calcs\PartL_Compliance\00_Reference\cooling-SEASONAL_EFFICIENCY_EXPLAINED.pdf</t>
  </si>
  <si>
    <t>passive</t>
  </si>
  <si>
    <t xml:space="preserve">New fabric insulated to a high standard. Existing Fabric improved with increased insulation and improved air-tightness. Assumed 0.35w/m2.k for old fabric. </t>
  </si>
  <si>
    <t xml:space="preserve">low energy LED lighting </t>
  </si>
  <si>
    <t>Pump type</t>
  </si>
  <si>
    <t>Variable speed multiple pressure sensors</t>
  </si>
  <si>
    <t>Variable speed differential sensor in system</t>
  </si>
  <si>
    <t>Variable speed differential sensor across pump</t>
  </si>
  <si>
    <t>constant speed</t>
  </si>
  <si>
    <t>vent heat recovery effectiveness</t>
  </si>
  <si>
    <t>ASHP cooling to Gym, Fitness Studios and server room. SEER=5 (refer to Mitsubishi SEASONAL_EFFICIENCY_EXPLAINED doc), pump&amp;fan = 10% of rejected heat</t>
  </si>
  <si>
    <t>passive-improved-fabric</t>
  </si>
  <si>
    <t xml:space="preserve">New fabric insulated to a high standard. Existing Fabric improved with increased insulation and improved air-tightness. Assumed 0.25w/m2.k for old fabric (refurbed). </t>
  </si>
  <si>
    <t>ASHP cooling to Gym, Fitness Studios and server room. External blinds SEER=5 (refer to Mitsubishi SEASONAL_EFFICIENCY_EXPLAINED doc), pump&amp;fan = 10% of rejected heat</t>
  </si>
  <si>
    <t>passive-improved-fabric-ex-shade</t>
  </si>
  <si>
    <t>ASHP cooling to Gym, Fitness Studios and server room. SEER=5 (refer to Mitsubishi SEASONAL_EFFICIENCY_EXPLAINED doc), pump&amp;fan = 10% of rejected heat. Solar controlled glass (G-Value = 0.4) applied to the west facing Gym and Studio spaces and external shading to the Gym reduce the cooling load. Rooflights in the Gym and main Atrium boost the availability of free cooling (for gym in the swing seasons) through natural ventilation</t>
  </si>
  <si>
    <t xml:space="preserve">Boilers deliver LTHW heating. MVHR for ventilation to Gym, Studios and Changing Rooms for heat recovery. </t>
  </si>
  <si>
    <t xml:space="preserve">Boilers deliver domestic hot water load. 2000l of local storage in the changing rooms buffer supply and demand. </t>
  </si>
  <si>
    <t>BeLean model. New fabric to a high specification to reduce the overall demand, existing fabric to be refurbished to ensure that the whole site is compliant with existing Building Regs. Natural ventilation, solar control and external shading incorporated to reduce total cooling demand. Efficient cooling system specified and MVHR for heat recovery to further reduce cooling and heating loads. High efficiency lighting, intelligent lighting controls and design for daylight (rooflights, high level windows) passively reduce the lighting load.</t>
  </si>
  <si>
    <t xml:space="preserve">Air Source Heat Pump heating. MVHR for ventilation to Gym, Studios and Changing Rooms for heat recovery. </t>
  </si>
  <si>
    <t xml:space="preserve">low energy LED lighting, assumed 80lm/w LOR=1 downlights for most spaces. </t>
  </si>
  <si>
    <t xml:space="preserve">Daylight dimming applied to areas with good access to glazing: cafe, foyer, studios, gym, office. </t>
  </si>
  <si>
    <t>cooling ref2</t>
  </si>
  <si>
    <t>NCM_Modelling_Guide_2013_Edition_20November2017.pdf
air-conditioning  mode. SSEER=2.6, SEER=4.5
mixed-mode. SSEER=2.7.</t>
  </si>
  <si>
    <t xml:space="preserve">Boilers deliver LTHW heating, Wessex Modumax, seasonal efficiency = 94.7%, 10% distribution losses (NCM_Modelling_Guide_2013_Edition_20November2017), ScOP = 85.23%. MVHR for ventilation to Gym, Studios and Changing Rooms, 80% heat recovery. </t>
  </si>
  <si>
    <t>Wessex Modumax</t>
  </si>
  <si>
    <t>Boilers deliver domestic hot water load. Wessex Modumax, seasonal efficiency = 94.7%, 5% distribution losses (NCM_Modelling_Guide_2013_Edition_20November2017), ScOP = 89.965%.</t>
  </si>
  <si>
    <t>ASHP cooling to Gym, Fitness Studios and server room. Operating in mixed-mode, modelled as PUHY-P700YSNW-A, Part L SEER = 8.67 (ref MITSUBISHI-SEASONAL_EFFICIENCY_EXPLAINED). Solar controlled glass (G-Value = 0.4) applied to the west facing Gym and Studio spaces and external shading to the Gym reduce the cooling load. Rooflights in the Gym and main Atrium boost the availability of free cooling (for gym in the swing seasons) through natural ventilation</t>
  </si>
  <si>
    <t>J:\J6025\Calcs\PartL_Compliance\00_Reference\coolingMITSUBISHI-SEASONAL_EFFICIENCY_EXPLAINED.pdf</t>
  </si>
  <si>
    <t xml:space="preserve">Daylight dimming applied to areas with good access to glazing: cafe, foyer, studios, gym, office. Otherwise assume automatic on, automatic off. </t>
  </si>
  <si>
    <t>heating control description</t>
  </si>
  <si>
    <t>Central Time Control, Optimal Start/Stop Control, Local Time Control (room-by-room), Local Temperature Control (room by room), Weather Compensation, Metering to warn of "out-of-range" values</t>
  </si>
  <si>
    <t>New fabric insulated to a high standard (high-spec double glazing, well-insulated walls, CLT structure with high airtightness). Existing Fabric improved with increased insulation and improved air-tightness. Designed to meet the same standard as the notional building (Table1, NCM_Modelling_Guide_2013_Edition_20November2017). Although the Air Tightness of the new building will be greater than 3m3/hr.m2 @ 50Pa, we have assumed that as a whole the building will achieve this.</t>
  </si>
  <si>
    <t>as Be Lean</t>
  </si>
  <si>
    <t>Mitsubishi CAHV-P500YA-HPB</t>
  </si>
  <si>
    <t>Air Source Heat Pumps (assumed Mitsubishi CAHV-P500YA-HPB(-BS)) delivers heating @ (flow/return) = 45/40degC. Heat pumps also contribute to pool heating when favourable allowing them to run for the majority of the time. 
Normal operation (outdoor dry bulb temp = 7degC) CoP = 3.5kw/kw. 
Winter operation (outdoor dry bulb temp = -3degC) CoP = 2.8kw/kw. 
As modelled, CoP = (2.8+3.5/2) = 3.15 (conservative estimate)</t>
  </si>
  <si>
    <t xml:space="preserve">2 stage heat pump. 
Water from the Air Source Heat Pump is stepped up from 45degC to 65degC by a 2nd stage water source heat pump (Mitsubishi CRHV-P600YA-HPB). 
Combined CoP = 1.96. </t>
  </si>
  <si>
    <t>J:\J6025\Calcs\PartL_Compliance\04_Calcs\Reference - Heat pumps in series COP.xlsx</t>
  </si>
  <si>
    <t>asLean-pv-heatpumps</t>
  </si>
  <si>
    <t>asLean</t>
  </si>
  <si>
    <t xml:space="preserve">228m2 PV-T on the flat roof-canopy. 12.5% solar conversion efficiency. Intended to operate with the water-water heat pump to deliver the domestic hot water load. The benefit of this is not considered in this analysis (conservative estimate). 
147.3m2 PV @ 19% solar conversion efficiency.
  </t>
  </si>
  <si>
    <t xml:space="preserve">as Be Lean with the following changes: Air Source Heat Pump for space heating and contribution to pool heating, 2nd stage Water-Source Heat Pump to turn low temperature hot water up to domestic hot water, addition of PV panels on both the new flat roof and the saw-tooth gym / studios roof. </t>
  </si>
  <si>
    <t>vent description</t>
  </si>
  <si>
    <t>pump type description</t>
  </si>
  <si>
    <t>lighting efficacy (lm/w)</t>
  </si>
  <si>
    <t>MVHR heat recovery sensible efficiency</t>
  </si>
  <si>
    <t>Issue</t>
  </si>
  <si>
    <t>Date</t>
  </si>
  <si>
    <t>Description</t>
  </si>
  <si>
    <t>*</t>
  </si>
  <si>
    <t>Draft for Comment</t>
  </si>
  <si>
    <t>A</t>
  </si>
  <si>
    <t>Planning Issue</t>
  </si>
  <si>
    <t>B</t>
  </si>
  <si>
    <t>Planning Issue - Energy Memo Comments Incorporated</t>
  </si>
  <si>
    <t>Engineer</t>
  </si>
  <si>
    <t>Neil Smith</t>
  </si>
  <si>
    <t>Edmund Chan</t>
  </si>
  <si>
    <t>Patricia Steven</t>
  </si>
  <si>
    <t>John Gunstone</t>
  </si>
  <si>
    <t>Role</t>
  </si>
  <si>
    <t>Senior Partner</t>
  </si>
  <si>
    <t>Project Engineer</t>
  </si>
  <si>
    <t>J:\J6025\Calcs\PartL_Compliance\00_Reference\coolingREF-MITSUBISHI-SEASONAL_EFFICIENCY_EXPLAINED.pdf</t>
  </si>
  <si>
    <t>Hampton Pool</t>
  </si>
  <si>
    <t>Part L Calc</t>
  </si>
  <si>
    <t>Model Setup ↓↓↓</t>
  </si>
  <si>
    <t>Grouping ↓↓↓</t>
  </si>
  <si>
    <r>
      <t xml:space="preserve">the area bounded by red lines denotes the area imported by python </t>
    </r>
    <r>
      <rPr>
        <b/>
        <sz val="12"/>
        <color rgb="FFFF0000"/>
        <rFont val="Calibri"/>
        <family val="2"/>
      </rPr>
      <t>↓↓↓↓</t>
    </r>
  </si>
  <si>
    <t>general ref</t>
  </si>
  <si>
    <t>drwg ref</t>
  </si>
  <si>
    <t>weather data ref</t>
  </si>
  <si>
    <t>as_designed</t>
  </si>
  <si>
    <t>report_model_run</t>
  </si>
  <si>
    <t>report_run_name</t>
  </si>
  <si>
    <r>
      <rPr>
        <b/>
        <sz val="14"/>
        <color theme="1"/>
        <rFont val="Calibri"/>
        <family val="2"/>
        <scheme val="minor"/>
      </rPr>
      <t>user defined filters</t>
    </r>
    <r>
      <rPr>
        <b/>
        <sz val="18"/>
        <color theme="1"/>
        <rFont val="Calibri"/>
        <family val="2"/>
        <scheme val="minor"/>
      </rPr>
      <t xml:space="preserve"> →</t>
    </r>
  </si>
  <si>
    <t>user defined row filters →</t>
  </si>
  <si>
    <t>gla_london_plan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</si>
</sst>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F800]dddd\,\ mmmm\ dd\,\ yyyy"/>
  </numFmts>
  <fonts count="28" x14ac:knownFonts="1">
    <font>
      <sz val="11"/>
      <color theme="1"/>
      <name val="Calibri"/>
      <family val="2"/>
      <scheme val="minor"/>
    </font>
    <font>
      <b/>
      <sz val="11"/>
      <color theme="1"/>
      <name val="Calibri"/>
      <family val="2"/>
      <scheme val="minor"/>
    </font>
    <font>
      <sz val="11"/>
      <color rgb="FF3F3F76"/>
      <name val="Calibri"/>
      <family val="2"/>
      <scheme val="minor"/>
    </font>
    <font>
      <sz val="12"/>
      <color theme="1"/>
      <name val="Calibri"/>
      <family val="2"/>
      <scheme val="minor"/>
    </font>
    <font>
      <b/>
      <sz val="12"/>
      <color theme="1"/>
      <name val="Calibri"/>
      <family val="2"/>
      <scheme val="minor"/>
    </font>
    <font>
      <b/>
      <sz val="14"/>
      <color theme="1"/>
      <name val="Calibri"/>
      <family val="2"/>
      <scheme val="minor"/>
    </font>
    <font>
      <sz val="11"/>
      <color theme="6" tint="-0.249977111117893"/>
      <name val="Calibri"/>
      <family val="2"/>
      <scheme val="minor"/>
    </font>
    <font>
      <b/>
      <sz val="14"/>
      <color theme="8" tint="-0.249977111117893"/>
      <name val="Calibri"/>
      <family val="2"/>
      <scheme val="minor"/>
    </font>
    <font>
      <sz val="11"/>
      <color theme="1"/>
      <name val="Calibri"/>
      <family val="2"/>
      <scheme val="minor"/>
    </font>
    <font>
      <b/>
      <sz val="10"/>
      <color theme="1"/>
      <name val="Calibri"/>
      <family val="2"/>
    </font>
    <font>
      <b/>
      <sz val="10"/>
      <color theme="0" tint="-4.9989318521683403E-2"/>
      <name val="Calibri"/>
      <family val="2"/>
    </font>
    <font>
      <sz val="10"/>
      <color theme="1"/>
      <name val="Calibri"/>
      <family val="2"/>
    </font>
    <font>
      <sz val="10"/>
      <name val="Calibri"/>
      <family val="2"/>
    </font>
    <font>
      <b/>
      <sz val="18"/>
      <color theme="1"/>
      <name val="Calibri"/>
      <family val="2"/>
      <scheme val="minor"/>
    </font>
    <font>
      <sz val="14"/>
      <color theme="1"/>
      <name val="Calibri"/>
      <family val="2"/>
      <scheme val="minor"/>
    </font>
    <font>
      <b/>
      <i/>
      <sz val="14"/>
      <color rgb="FFFF0000"/>
      <name val="Calibri"/>
      <family val="2"/>
      <scheme val="minor"/>
    </font>
    <font>
      <sz val="14"/>
      <color theme="8" tint="-0.249977111117893"/>
      <name val="Calibri"/>
      <family val="2"/>
      <scheme val="minor"/>
    </font>
    <font>
      <sz val="9"/>
      <color theme="8" tint="-0.249977111117893"/>
      <name val="Calibri"/>
      <family val="2"/>
      <scheme val="minor"/>
    </font>
    <font>
      <sz val="14"/>
      <color rgb="FFFF0000"/>
      <name val="Calibri"/>
      <family val="2"/>
      <scheme val="minor"/>
    </font>
    <font>
      <b/>
      <sz val="11"/>
      <color theme="8" tint="-0.249977111117893"/>
      <name val="Calibri"/>
      <family val="2"/>
      <scheme val="minor"/>
    </font>
    <font>
      <u/>
      <sz val="11"/>
      <color theme="10"/>
      <name val="Calibri"/>
      <family val="2"/>
      <scheme val="minor"/>
    </font>
    <font>
      <sz val="12"/>
      <color theme="1"/>
      <name val="Calibri"/>
      <family val="2"/>
      <scheme val="minor"/>
    </font>
    <font>
      <b/>
      <sz val="24"/>
      <color rgb="FF000000"/>
      <name val="Calibri"/>
      <family val="2"/>
    </font>
    <font>
      <b/>
      <sz val="14"/>
      <color rgb="FFFF0000"/>
      <name val="Calibri"/>
      <family val="2"/>
      <scheme val="minor"/>
    </font>
    <font>
      <b/>
      <sz val="12"/>
      <color rgb="FFFF0000"/>
      <name val="Calibri"/>
      <family val="2"/>
      <scheme val="minor"/>
    </font>
    <font>
      <b/>
      <sz val="12"/>
      <color rgb="FFFF0000"/>
      <name val="Calibri"/>
      <family val="2"/>
    </font>
    <font>
      <b/>
      <i/>
      <sz val="12"/>
      <color rgb="FFFF0000"/>
      <name val="Calibri"/>
      <family val="2"/>
      <scheme val="minor"/>
    </font>
    <font>
      <sz val="8"/>
      <name val="Calibri"/>
      <family val="2"/>
      <scheme val="minor"/>
    </font>
  </fonts>
  <fills count="20">
    <fill>
      <patternFill patternType="none"/>
    </fill>
    <fill>
      <patternFill patternType="gray125"/>
    </fill>
    <fill>
      <patternFill patternType="solid">
        <fgColor rgb="FFFFCC99"/>
      </patternFill>
    </fill>
    <fill>
      <patternFill patternType="solid">
        <fgColor theme="6" tint="0.79998168889431442"/>
        <bgColor theme="6" tint="0.79998168889431442"/>
      </patternFill>
    </fill>
    <fill>
      <patternFill patternType="solid">
        <fgColor theme="0"/>
        <bgColor indexed="64"/>
      </patternFill>
    </fill>
    <fill>
      <patternFill patternType="solid">
        <fgColor rgb="FF00B0F0"/>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9" tint="0.79998168889431442"/>
        <bgColor indexed="65"/>
      </patternFill>
    </fill>
    <fill>
      <patternFill patternType="solid">
        <fgColor theme="5" tint="0.79998168889431442"/>
        <bgColor indexed="64"/>
      </patternFill>
    </fill>
    <fill>
      <patternFill patternType="solid">
        <fgColor theme="6"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8" tint="-0.249977111117893"/>
        <bgColor indexed="64"/>
      </patternFill>
    </fill>
  </fills>
  <borders count="25">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top/>
      <bottom style="thin">
        <color theme="6"/>
      </bottom>
      <diagonal/>
    </border>
    <border>
      <left/>
      <right style="thin">
        <color indexed="64"/>
      </right>
      <top/>
      <bottom/>
      <diagonal/>
    </border>
    <border>
      <left style="medium">
        <color indexed="64"/>
      </left>
      <right style="thick">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ck">
        <color indexed="64"/>
      </right>
      <top/>
      <bottom/>
      <diagonal/>
    </border>
    <border>
      <left/>
      <right style="medium">
        <color indexed="64"/>
      </right>
      <top/>
      <bottom/>
      <diagonal/>
    </border>
    <border>
      <left style="medium">
        <color indexed="64"/>
      </left>
      <right style="thick">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right/>
      <top/>
      <bottom style="thick">
        <color rgb="FFFF0000"/>
      </bottom>
      <diagonal/>
    </border>
    <border>
      <left style="thick">
        <color rgb="FFFF0000"/>
      </left>
      <right/>
      <top/>
      <bottom/>
      <diagonal/>
    </border>
    <border>
      <left/>
      <right/>
      <top/>
      <bottom style="thick">
        <color indexed="64"/>
      </bottom>
      <diagonal/>
    </border>
    <border>
      <left style="medium">
        <color rgb="FFFF0000"/>
      </left>
      <right/>
      <top style="medium">
        <color rgb="FFFF0000"/>
      </top>
      <bottom/>
      <diagonal/>
    </border>
    <border>
      <left style="medium">
        <color indexed="64"/>
      </left>
      <right style="medium">
        <color indexed="64"/>
      </right>
      <top style="medium">
        <color rgb="FFFF0000"/>
      </top>
      <bottom style="medium">
        <color indexed="64"/>
      </bottom>
      <diagonal/>
    </border>
    <border>
      <left style="thin">
        <color rgb="FF7F7F7F"/>
      </left>
      <right style="medium">
        <color rgb="FFFF0000"/>
      </right>
      <top style="medium">
        <color rgb="FFFF0000"/>
      </top>
      <bottom style="thin">
        <color rgb="FF7F7F7F"/>
      </bottom>
      <diagonal/>
    </border>
    <border>
      <left style="medium">
        <color rgb="FFFF0000"/>
      </left>
      <right/>
      <top/>
      <bottom/>
      <diagonal/>
    </border>
    <border>
      <left style="thin">
        <color rgb="FF7F7F7F"/>
      </left>
      <right style="medium">
        <color rgb="FFFF0000"/>
      </right>
      <top style="thin">
        <color rgb="FF7F7F7F"/>
      </top>
      <bottom style="thin">
        <color rgb="FF7F7F7F"/>
      </bottom>
      <diagonal/>
    </border>
    <border>
      <left style="medium">
        <color rgb="FFFF0000"/>
      </left>
      <right/>
      <top/>
      <bottom style="medium">
        <color rgb="FFFF0000"/>
      </bottom>
      <diagonal/>
    </border>
    <border>
      <left style="medium">
        <color indexed="64"/>
      </left>
      <right style="medium">
        <color indexed="64"/>
      </right>
      <top/>
      <bottom style="medium">
        <color rgb="FFFF0000"/>
      </bottom>
      <diagonal/>
    </border>
    <border>
      <left/>
      <right/>
      <top style="thin">
        <color theme="1"/>
      </top>
      <bottom style="thick">
        <color indexed="64"/>
      </bottom>
      <diagonal/>
    </border>
  </borders>
  <cellStyleXfs count="6">
    <xf numFmtId="0" fontId="0" fillId="0" borderId="0"/>
    <xf numFmtId="0" fontId="2" fillId="2" borderId="1" applyNumberFormat="0" applyAlignment="0" applyProtection="0"/>
    <xf numFmtId="0" fontId="8" fillId="0" borderId="0"/>
    <xf numFmtId="0" fontId="8" fillId="0" borderId="0"/>
    <xf numFmtId="0" fontId="8" fillId="14" borderId="0" applyNumberFormat="0" applyBorder="0" applyAlignment="0" applyProtection="0"/>
    <xf numFmtId="0" fontId="20" fillId="0" borderId="0" applyNumberFormat="0" applyFill="0" applyBorder="0" applyAlignment="0" applyProtection="0"/>
  </cellStyleXfs>
  <cellXfs count="195">
    <xf numFmtId="0" fontId="0" fillId="0" borderId="0" xfId="0"/>
    <xf numFmtId="0" fontId="1" fillId="0" borderId="0" xfId="0" applyFont="1" applyAlignment="1">
      <alignment vertical="top" wrapText="1"/>
    </xf>
    <xf numFmtId="0" fontId="1" fillId="0" borderId="0" xfId="0" applyFont="1" applyAlignment="1">
      <alignment vertical="top"/>
    </xf>
    <xf numFmtId="0" fontId="3" fillId="0" borderId="0" xfId="0" applyFont="1" applyBorder="1"/>
    <xf numFmtId="0" fontId="3" fillId="0" borderId="0" xfId="0" applyFont="1" applyBorder="1" applyAlignment="1">
      <alignment wrapText="1"/>
    </xf>
    <xf numFmtId="0" fontId="6" fillId="3" borderId="0" xfId="0" applyFont="1" applyFill="1"/>
    <xf numFmtId="0" fontId="6" fillId="0" borderId="0" xfId="0" applyFont="1"/>
    <xf numFmtId="0" fontId="6" fillId="3" borderId="4" xfId="0" applyFont="1" applyFill="1" applyBorder="1"/>
    <xf numFmtId="0" fontId="9" fillId="4" borderId="6" xfId="2" applyFont="1" applyFill="1" applyBorder="1" applyAlignment="1">
      <alignment horizontal="center" vertical="center" wrapText="1"/>
    </xf>
    <xf numFmtId="0" fontId="10" fillId="5" borderId="7" xfId="2" applyFont="1" applyFill="1" applyBorder="1" applyAlignment="1">
      <alignment horizontal="center" vertical="center" wrapText="1"/>
    </xf>
    <xf numFmtId="0" fontId="10" fillId="5" borderId="8" xfId="2" applyFont="1" applyFill="1" applyBorder="1" applyAlignment="1">
      <alignment horizontal="center" vertical="center" wrapText="1"/>
    </xf>
    <xf numFmtId="1" fontId="11" fillId="4" borderId="9" xfId="2" applyNumberFormat="1" applyFont="1" applyFill="1" applyBorder="1" applyAlignment="1">
      <alignment horizontal="left" vertical="center"/>
    </xf>
    <xf numFmtId="164" fontId="12" fillId="4" borderId="5" xfId="0" applyNumberFormat="1" applyFont="1" applyFill="1" applyBorder="1" applyAlignment="1">
      <alignment horizontal="center" vertical="center" wrapText="1"/>
    </xf>
    <xf numFmtId="164" fontId="12" fillId="4" borderId="10" xfId="0" applyNumberFormat="1" applyFont="1" applyFill="1" applyBorder="1" applyAlignment="1">
      <alignment horizontal="center" vertical="center" wrapText="1"/>
    </xf>
    <xf numFmtId="1" fontId="11" fillId="4" borderId="11" xfId="2" applyNumberFormat="1" applyFont="1" applyFill="1" applyBorder="1" applyAlignment="1">
      <alignment horizontal="left" vertical="center"/>
    </xf>
    <xf numFmtId="164" fontId="12" fillId="4" borderId="12" xfId="0" applyNumberFormat="1" applyFont="1" applyFill="1" applyBorder="1" applyAlignment="1">
      <alignment horizontal="center" vertical="center" wrapText="1"/>
    </xf>
    <xf numFmtId="164" fontId="11" fillId="4" borderId="13" xfId="2" applyNumberFormat="1" applyFont="1" applyFill="1" applyBorder="1" applyAlignment="1">
      <alignment horizontal="center" vertical="center"/>
    </xf>
    <xf numFmtId="0" fontId="0" fillId="0" borderId="0" xfId="0" applyAlignment="1"/>
    <xf numFmtId="0" fontId="4" fillId="0" borderId="0" xfId="0" applyFont="1" applyBorder="1" applyAlignment="1">
      <alignment wrapText="1"/>
    </xf>
    <xf numFmtId="0" fontId="0" fillId="6" borderId="0" xfId="0" applyFill="1"/>
    <xf numFmtId="0" fontId="14" fillId="0" borderId="0" xfId="0" applyFont="1" applyAlignment="1"/>
    <xf numFmtId="0" fontId="15" fillId="0" borderId="0" xfId="0" applyFont="1" applyAlignment="1">
      <alignment wrapText="1"/>
    </xf>
    <xf numFmtId="0" fontId="14" fillId="0" borderId="0" xfId="0" applyFont="1"/>
    <xf numFmtId="0" fontId="7" fillId="0" borderId="0" xfId="0" applyFont="1" applyBorder="1"/>
    <xf numFmtId="0" fontId="0" fillId="7" borderId="0" xfId="0" applyFill="1"/>
    <xf numFmtId="0" fontId="15" fillId="7" borderId="0" xfId="0" applyFont="1" applyFill="1" applyAlignment="1">
      <alignment wrapText="1"/>
    </xf>
    <xf numFmtId="0" fontId="15" fillId="8" borderId="0" xfId="0" applyFont="1" applyFill="1" applyAlignment="1">
      <alignment wrapText="1"/>
    </xf>
    <xf numFmtId="0" fontId="0" fillId="10" borderId="0" xfId="0" applyFill="1"/>
    <xf numFmtId="0" fontId="15" fillId="10" borderId="0" xfId="0" applyFont="1" applyFill="1" applyAlignment="1">
      <alignment wrapText="1"/>
    </xf>
    <xf numFmtId="0" fontId="15" fillId="6" borderId="0" xfId="0" applyFont="1" applyFill="1" applyAlignment="1">
      <alignment wrapText="1"/>
    </xf>
    <xf numFmtId="0" fontId="0" fillId="12" borderId="0" xfId="0" applyFill="1"/>
    <xf numFmtId="0" fontId="15" fillId="12" borderId="0" xfId="0" applyFont="1" applyFill="1" applyAlignment="1">
      <alignment wrapText="1"/>
    </xf>
    <xf numFmtId="0" fontId="0" fillId="11" borderId="0" xfId="0" applyFill="1"/>
    <xf numFmtId="0" fontId="15" fillId="11" borderId="0" xfId="0" applyFont="1" applyFill="1" applyAlignment="1">
      <alignment wrapText="1"/>
    </xf>
    <xf numFmtId="0" fontId="0" fillId="13" borderId="0" xfId="0" applyFill="1"/>
    <xf numFmtId="0" fontId="15" fillId="13" borderId="0" xfId="0" applyFont="1" applyFill="1" applyAlignment="1">
      <alignment wrapText="1"/>
    </xf>
    <xf numFmtId="0" fontId="16" fillId="0" borderId="0" xfId="0" applyFont="1" applyAlignment="1">
      <alignment horizontal="right"/>
    </xf>
    <xf numFmtId="0" fontId="17" fillId="0" borderId="0" xfId="0" applyFont="1" applyAlignment="1">
      <alignment horizontal="right"/>
    </xf>
    <xf numFmtId="0" fontId="17" fillId="0" borderId="0" xfId="0" applyFont="1" applyFill="1" applyBorder="1" applyAlignment="1">
      <alignment horizontal="right" wrapText="1"/>
    </xf>
    <xf numFmtId="0" fontId="17" fillId="7" borderId="0" xfId="0" applyFont="1" applyFill="1" applyBorder="1" applyAlignment="1">
      <alignment horizontal="right" wrapText="1"/>
    </xf>
    <xf numFmtId="0" fontId="17" fillId="11" borderId="0" xfId="0" applyFont="1" applyFill="1" applyBorder="1" applyAlignment="1">
      <alignment horizontal="right" wrapText="1"/>
    </xf>
    <xf numFmtId="0" fontId="17" fillId="12" borderId="0" xfId="0" applyFont="1" applyFill="1" applyBorder="1" applyAlignment="1">
      <alignment horizontal="right" wrapText="1"/>
    </xf>
    <xf numFmtId="0" fontId="17" fillId="10" borderId="0" xfId="0" applyFont="1" applyFill="1" applyBorder="1" applyAlignment="1">
      <alignment horizontal="right" wrapText="1"/>
    </xf>
    <xf numFmtId="0" fontId="17" fillId="6" borderId="0" xfId="0" applyFont="1" applyFill="1" applyBorder="1" applyAlignment="1">
      <alignment horizontal="right" wrapText="1"/>
    </xf>
    <xf numFmtId="0" fontId="17" fillId="13" borderId="0" xfId="0" applyFont="1" applyFill="1" applyBorder="1" applyAlignment="1">
      <alignment horizontal="right" wrapText="1"/>
    </xf>
    <xf numFmtId="0" fontId="7" fillId="0" borderId="0" xfId="0" applyFont="1" applyBorder="1" applyAlignment="1">
      <alignment horizontal="right" wrapText="1"/>
    </xf>
    <xf numFmtId="0" fontId="16" fillId="0" borderId="0" xfId="0" applyFont="1" applyBorder="1" applyAlignment="1">
      <alignment horizontal="right"/>
    </xf>
    <xf numFmtId="0" fontId="7" fillId="7" borderId="0" xfId="0" applyFont="1" applyFill="1" applyBorder="1" applyAlignment="1">
      <alignment horizontal="right" wrapText="1"/>
    </xf>
    <xf numFmtId="0" fontId="7" fillId="11" borderId="0" xfId="0" applyFont="1" applyFill="1" applyBorder="1" applyAlignment="1">
      <alignment horizontal="right" wrapText="1"/>
    </xf>
    <xf numFmtId="0" fontId="7" fillId="12" borderId="0" xfId="0" applyFont="1" applyFill="1" applyBorder="1" applyAlignment="1">
      <alignment horizontal="right" wrapText="1"/>
    </xf>
    <xf numFmtId="0" fontId="7" fillId="10" borderId="0" xfId="0" applyFont="1" applyFill="1" applyBorder="1" applyAlignment="1">
      <alignment horizontal="right" wrapText="1"/>
    </xf>
    <xf numFmtId="0" fontId="7" fillId="6" borderId="0" xfId="0" applyFont="1" applyFill="1" applyBorder="1" applyAlignment="1">
      <alignment horizontal="right" wrapText="1"/>
    </xf>
    <xf numFmtId="0" fontId="7" fillId="13" borderId="0" xfId="0" applyFont="1" applyFill="1" applyBorder="1" applyAlignment="1">
      <alignment horizontal="right" wrapText="1"/>
    </xf>
    <xf numFmtId="0" fontId="17" fillId="0" borderId="0" xfId="0" applyFont="1" applyBorder="1" applyAlignment="1">
      <alignment horizontal="right"/>
    </xf>
    <xf numFmtId="0" fontId="0" fillId="0" borderId="0" xfId="0" applyBorder="1"/>
    <xf numFmtId="0" fontId="18" fillId="9" borderId="15" xfId="0" applyFont="1" applyFill="1" applyBorder="1" applyAlignment="1">
      <alignment horizontal="right"/>
    </xf>
    <xf numFmtId="0" fontId="0" fillId="8" borderId="0" xfId="0" applyFill="1" applyAlignment="1">
      <alignment vertical="top"/>
    </xf>
    <xf numFmtId="0" fontId="7" fillId="8" borderId="0" xfId="0" applyFont="1" applyFill="1" applyBorder="1" applyAlignment="1">
      <alignment horizontal="right" vertical="top" wrapText="1"/>
    </xf>
    <xf numFmtId="0" fontId="17" fillId="8" borderId="0" xfId="0" applyFont="1" applyFill="1" applyBorder="1" applyAlignment="1">
      <alignment horizontal="right" vertical="top" wrapText="1"/>
    </xf>
    <xf numFmtId="0" fontId="0" fillId="8" borderId="0" xfId="0" applyFill="1" applyAlignment="1"/>
    <xf numFmtId="0" fontId="0" fillId="7" borderId="0" xfId="0" applyFill="1" applyAlignment="1"/>
    <xf numFmtId="0" fontId="0" fillId="11" borderId="0" xfId="0" applyFill="1" applyAlignment="1"/>
    <xf numFmtId="0" fontId="0" fillId="12" borderId="0" xfId="0" applyFill="1" applyAlignment="1"/>
    <xf numFmtId="0" fontId="0" fillId="10" borderId="0" xfId="0" applyFill="1" applyAlignment="1"/>
    <xf numFmtId="0" fontId="0" fillId="6" borderId="0" xfId="0" applyFill="1" applyAlignment="1"/>
    <xf numFmtId="0" fontId="0" fillId="13" borderId="0" xfId="0" applyFill="1" applyAlignment="1"/>
    <xf numFmtId="0" fontId="13" fillId="8" borderId="0" xfId="3" applyFont="1" applyFill="1" applyAlignment="1">
      <alignment horizontal="right"/>
    </xf>
    <xf numFmtId="0" fontId="5" fillId="7" borderId="0" xfId="3" applyFont="1" applyFill="1" applyAlignment="1">
      <alignment horizontal="right"/>
    </xf>
    <xf numFmtId="0" fontId="14" fillId="6" borderId="0" xfId="0" applyFont="1" applyFill="1" applyAlignment="1"/>
    <xf numFmtId="0" fontId="14" fillId="13" borderId="0" xfId="0" applyFont="1" applyFill="1" applyAlignment="1"/>
    <xf numFmtId="0" fontId="14" fillId="8" borderId="0" xfId="0" applyFont="1" applyFill="1" applyAlignment="1"/>
    <xf numFmtId="0" fontId="14" fillId="7" borderId="0" xfId="0" applyFont="1" applyFill="1" applyAlignment="1"/>
    <xf numFmtId="0" fontId="5" fillId="11" borderId="0" xfId="3" applyFont="1" applyFill="1" applyAlignment="1">
      <alignment horizontal="right"/>
    </xf>
    <xf numFmtId="0" fontId="14" fillId="12" borderId="0" xfId="0" applyFont="1" applyFill="1" applyAlignment="1"/>
    <xf numFmtId="0" fontId="14" fillId="10" borderId="0" xfId="0" applyFont="1" applyFill="1" applyAlignment="1"/>
    <xf numFmtId="0" fontId="5" fillId="12" borderId="0" xfId="3" applyFont="1" applyFill="1" applyAlignment="1">
      <alignment horizontal="right"/>
    </xf>
    <xf numFmtId="0" fontId="5" fillId="10" borderId="0" xfId="3" applyFont="1" applyFill="1" applyAlignment="1">
      <alignment horizontal="right"/>
    </xf>
    <xf numFmtId="0" fontId="5" fillId="6" borderId="0" xfId="3" applyFont="1" applyFill="1" applyAlignment="1">
      <alignment horizontal="right"/>
    </xf>
    <xf numFmtId="0" fontId="5" fillId="13" borderId="0" xfId="3" applyFont="1" applyFill="1" applyAlignment="1">
      <alignment horizontal="right"/>
    </xf>
    <xf numFmtId="0" fontId="7" fillId="0" borderId="0" xfId="0" applyFont="1" applyBorder="1" applyAlignment="1"/>
    <xf numFmtId="0" fontId="3" fillId="0" borderId="0" xfId="0" applyFont="1" applyAlignment="1">
      <alignment horizontal="center" vertical="center"/>
    </xf>
    <xf numFmtId="0" fontId="4" fillId="0" borderId="0" xfId="0" applyFont="1" applyBorder="1" applyAlignment="1">
      <alignment vertical="center" wrapText="1"/>
    </xf>
    <xf numFmtId="0" fontId="3" fillId="8" borderId="0" xfId="0" applyFont="1" applyFill="1" applyBorder="1" applyAlignment="1">
      <alignment vertical="top" wrapText="1"/>
    </xf>
    <xf numFmtId="0" fontId="3" fillId="7" borderId="0" xfId="0" applyFont="1" applyFill="1" applyBorder="1" applyAlignment="1">
      <alignment wrapText="1"/>
    </xf>
    <xf numFmtId="0" fontId="3" fillId="11" borderId="0" xfId="0" applyFont="1" applyFill="1" applyBorder="1" applyAlignment="1">
      <alignment wrapText="1"/>
    </xf>
    <xf numFmtId="0" fontId="3" fillId="12" borderId="0" xfId="0" applyFont="1" applyFill="1" applyBorder="1" applyAlignment="1">
      <alignment wrapText="1"/>
    </xf>
    <xf numFmtId="0" fontId="3" fillId="10" borderId="0" xfId="0" applyFont="1" applyFill="1" applyBorder="1" applyAlignment="1">
      <alignment wrapText="1"/>
    </xf>
    <xf numFmtId="0" fontId="3" fillId="6" borderId="0" xfId="0" applyFont="1" applyFill="1" applyBorder="1" applyAlignment="1">
      <alignment wrapText="1"/>
    </xf>
    <xf numFmtId="0" fontId="3" fillId="13" borderId="0" xfId="0" applyFont="1" applyFill="1" applyBorder="1" applyAlignment="1">
      <alignment wrapText="1"/>
    </xf>
    <xf numFmtId="0" fontId="3" fillId="0" borderId="0" xfId="0" applyFont="1"/>
    <xf numFmtId="0" fontId="1" fillId="0" borderId="18" xfId="0" applyFont="1" applyBorder="1" applyAlignment="1">
      <alignment wrapText="1"/>
    </xf>
    <xf numFmtId="0" fontId="19" fillId="2" borderId="19" xfId="1" applyFont="1" applyBorder="1" applyAlignment="1">
      <alignment horizontal="left"/>
    </xf>
    <xf numFmtId="0" fontId="1" fillId="0" borderId="3" xfId="0" applyFont="1" applyBorder="1" applyAlignment="1">
      <alignment wrapText="1"/>
    </xf>
    <xf numFmtId="0" fontId="19" fillId="2" borderId="21" xfId="1" applyFont="1" applyBorder="1" applyAlignment="1"/>
    <xf numFmtId="0" fontId="20" fillId="2" borderId="21" xfId="5" applyFont="1" applyFill="1" applyBorder="1" applyAlignment="1"/>
    <xf numFmtId="0" fontId="1" fillId="0" borderId="2" xfId="0" applyFont="1" applyBorder="1" applyAlignment="1">
      <alignment wrapText="1"/>
    </xf>
    <xf numFmtId="0" fontId="1" fillId="0" borderId="23" xfId="0" applyFont="1" applyBorder="1" applyAlignment="1">
      <alignment wrapText="1"/>
    </xf>
    <xf numFmtId="0" fontId="8" fillId="14" borderId="0" xfId="4"/>
    <xf numFmtId="0" fontId="8" fillId="14" borderId="0" xfId="4" applyBorder="1"/>
    <xf numFmtId="0" fontId="8" fillId="14" borderId="0" xfId="4" applyAlignment="1">
      <alignment vertical="top"/>
    </xf>
    <xf numFmtId="0" fontId="0" fillId="15" borderId="0" xfId="0" applyFill="1" applyAlignment="1"/>
    <xf numFmtId="0" fontId="0" fillId="15" borderId="0" xfId="0" applyFill="1"/>
    <xf numFmtId="0" fontId="16" fillId="15" borderId="0" xfId="0" applyFont="1" applyFill="1" applyAlignment="1">
      <alignment horizontal="right"/>
    </xf>
    <xf numFmtId="0" fontId="17" fillId="15" borderId="0" xfId="0" applyFont="1" applyFill="1" applyAlignment="1">
      <alignment horizontal="right"/>
    </xf>
    <xf numFmtId="0" fontId="3" fillId="15" borderId="0" xfId="0" applyFont="1" applyFill="1" applyAlignment="1">
      <alignment wrapText="1"/>
    </xf>
    <xf numFmtId="0" fontId="3" fillId="0" borderId="0" xfId="0" applyFont="1" applyAlignment="1">
      <alignment wrapText="1"/>
    </xf>
    <xf numFmtId="0" fontId="0" fillId="16" borderId="0" xfId="0" applyFill="1" applyAlignment="1"/>
    <xf numFmtId="0" fontId="14" fillId="16" borderId="0" xfId="0" applyFont="1" applyFill="1" applyAlignment="1"/>
    <xf numFmtId="0" fontId="15" fillId="16" borderId="0" xfId="0" applyFont="1" applyFill="1" applyAlignment="1">
      <alignment wrapText="1"/>
    </xf>
    <xf numFmtId="0" fontId="7" fillId="16" borderId="0" xfId="0" applyFont="1" applyFill="1" applyBorder="1" applyAlignment="1">
      <alignment horizontal="right" wrapText="1"/>
    </xf>
    <xf numFmtId="0" fontId="17" fillId="16" borderId="0" xfId="0" applyFont="1" applyFill="1" applyBorder="1" applyAlignment="1">
      <alignment horizontal="right" wrapText="1"/>
    </xf>
    <xf numFmtId="0" fontId="3" fillId="16" borderId="0" xfId="0" applyFont="1" applyFill="1" applyBorder="1" applyAlignment="1">
      <alignment wrapText="1"/>
    </xf>
    <xf numFmtId="0" fontId="0" fillId="16" borderId="0" xfId="0" applyFill="1"/>
    <xf numFmtId="0" fontId="0" fillId="9" borderId="0" xfId="0" applyFill="1" applyAlignment="1"/>
    <xf numFmtId="0" fontId="14" fillId="9" borderId="0" xfId="0" applyFont="1" applyFill="1" applyAlignment="1"/>
    <xf numFmtId="0" fontId="15" fillId="9" borderId="0" xfId="0" applyFont="1" applyFill="1" applyAlignment="1">
      <alignment wrapText="1"/>
    </xf>
    <xf numFmtId="0" fontId="5" fillId="9" borderId="0" xfId="3" applyFont="1" applyFill="1" applyBorder="1" applyAlignment="1">
      <alignment horizontal="right"/>
    </xf>
    <xf numFmtId="0" fontId="7" fillId="9" borderId="0" xfId="0" applyFont="1" applyFill="1" applyBorder="1" applyAlignment="1">
      <alignment horizontal="right" wrapText="1"/>
    </xf>
    <xf numFmtId="0" fontId="17" fillId="9" borderId="0" xfId="0" applyFont="1" applyFill="1" applyBorder="1" applyAlignment="1">
      <alignment horizontal="right" wrapText="1"/>
    </xf>
    <xf numFmtId="0" fontId="3" fillId="9" borderId="0" xfId="0" applyFont="1" applyFill="1" applyBorder="1" applyAlignment="1">
      <alignment wrapText="1"/>
    </xf>
    <xf numFmtId="0" fontId="0" fillId="9" borderId="0" xfId="0" applyFill="1"/>
    <xf numFmtId="0" fontId="8" fillId="17" borderId="0" xfId="4" applyFill="1"/>
    <xf numFmtId="0" fontId="0" fillId="17" borderId="0" xfId="0" applyFill="1" applyAlignment="1"/>
    <xf numFmtId="0" fontId="0" fillId="17" borderId="0" xfId="0" applyFill="1"/>
    <xf numFmtId="0" fontId="16" fillId="17" borderId="0" xfId="0" applyFont="1" applyFill="1" applyAlignment="1">
      <alignment horizontal="right"/>
    </xf>
    <xf numFmtId="0" fontId="17" fillId="17" borderId="0" xfId="0" applyFont="1" applyFill="1" applyAlignment="1">
      <alignment horizontal="right"/>
    </xf>
    <xf numFmtId="0" fontId="5" fillId="15" borderId="0" xfId="3" applyFont="1" applyFill="1" applyBorder="1" applyAlignment="1">
      <alignment horizontal="right"/>
    </xf>
    <xf numFmtId="0" fontId="5" fillId="17" borderId="0" xfId="0" applyFont="1" applyFill="1" applyAlignment="1">
      <alignment horizontal="right"/>
    </xf>
    <xf numFmtId="0" fontId="3" fillId="17" borderId="0" xfId="0" applyFont="1" applyFill="1" applyAlignment="1">
      <alignment wrapText="1"/>
    </xf>
    <xf numFmtId="0" fontId="21" fillId="0" borderId="0" xfId="0" applyFont="1" applyAlignment="1">
      <alignment wrapText="1"/>
    </xf>
    <xf numFmtId="0" fontId="8" fillId="18" borderId="0" xfId="4" applyFill="1"/>
    <xf numFmtId="0" fontId="0" fillId="18" borderId="0" xfId="0" applyFill="1" applyAlignment="1"/>
    <xf numFmtId="0" fontId="0" fillId="18" borderId="0" xfId="0" applyFill="1"/>
    <xf numFmtId="0" fontId="16" fillId="18" borderId="0" xfId="0" applyFont="1" applyFill="1" applyAlignment="1">
      <alignment horizontal="right"/>
    </xf>
    <xf numFmtId="0" fontId="17" fillId="18" borderId="0" xfId="0" applyFont="1" applyFill="1" applyAlignment="1">
      <alignment horizontal="right"/>
    </xf>
    <xf numFmtId="0" fontId="21" fillId="18" borderId="0" xfId="0" applyFont="1" applyFill="1" applyAlignment="1">
      <alignment wrapText="1"/>
    </xf>
    <xf numFmtId="0" fontId="5" fillId="18" borderId="0" xfId="0" applyFont="1" applyFill="1" applyAlignment="1">
      <alignment horizontal="right"/>
    </xf>
    <xf numFmtId="0" fontId="14" fillId="0" borderId="0" xfId="0" applyFont="1" applyAlignment="1">
      <alignment wrapText="1"/>
    </xf>
    <xf numFmtId="0" fontId="0" fillId="0" borderId="0" xfId="0" applyAlignment="1">
      <alignment horizontal="left"/>
    </xf>
    <xf numFmtId="165" fontId="0" fillId="0" borderId="0" xfId="0" applyNumberFormat="1" applyAlignment="1">
      <alignment horizontal="left"/>
    </xf>
    <xf numFmtId="0" fontId="1" fillId="0" borderId="0" xfId="0" applyFont="1"/>
    <xf numFmtId="0" fontId="3" fillId="18" borderId="0" xfId="0" applyFont="1" applyFill="1" applyAlignment="1">
      <alignment wrapText="1"/>
    </xf>
    <xf numFmtId="0" fontId="14" fillId="0" borderId="0" xfId="0" applyNumberFormat="1" applyFont="1" applyAlignment="1">
      <alignment wrapText="1"/>
    </xf>
    <xf numFmtId="0" fontId="14" fillId="8" borderId="0" xfId="0" applyFont="1" applyFill="1" applyAlignment="1">
      <alignment vertical="top" wrapText="1"/>
    </xf>
    <xf numFmtId="0" fontId="14" fillId="7" borderId="0" xfId="0" applyFont="1" applyFill="1" applyAlignment="1">
      <alignment wrapText="1"/>
    </xf>
    <xf numFmtId="0" fontId="14" fillId="11" borderId="0" xfId="0" applyFont="1" applyFill="1" applyAlignment="1">
      <alignment wrapText="1"/>
    </xf>
    <xf numFmtId="0" fontId="14" fillId="12" borderId="0" xfId="0" applyFont="1" applyFill="1" applyAlignment="1">
      <alignment wrapText="1"/>
    </xf>
    <xf numFmtId="0" fontId="14" fillId="10" borderId="0" xfId="0" applyFont="1" applyFill="1" applyAlignment="1">
      <alignment wrapText="1"/>
    </xf>
    <xf numFmtId="0" fontId="14" fillId="6" borderId="0" xfId="0" applyFont="1" applyFill="1" applyAlignment="1">
      <alignment wrapText="1"/>
    </xf>
    <xf numFmtId="0" fontId="14" fillId="16" borderId="0" xfId="0" applyFont="1" applyFill="1" applyAlignment="1">
      <alignment wrapText="1"/>
    </xf>
    <xf numFmtId="0" fontId="14" fillId="13" borderId="0" xfId="0" applyFont="1" applyFill="1" applyAlignment="1">
      <alignment wrapText="1"/>
    </xf>
    <xf numFmtId="0" fontId="14" fillId="9" borderId="0" xfId="0" applyFont="1" applyFill="1" applyAlignment="1">
      <alignment wrapText="1"/>
    </xf>
    <xf numFmtId="0" fontId="5" fillId="14" borderId="0" xfId="4" applyFont="1" applyBorder="1"/>
    <xf numFmtId="0" fontId="18" fillId="9" borderId="17" xfId="0" applyFont="1" applyFill="1" applyBorder="1" applyAlignment="1">
      <alignment horizontal="right"/>
    </xf>
    <xf numFmtId="0" fontId="18" fillId="9" borderId="20" xfId="0" applyFont="1" applyFill="1" applyBorder="1" applyAlignment="1">
      <alignment horizontal="right"/>
    </xf>
    <xf numFmtId="0" fontId="18" fillId="9" borderId="22" xfId="0" applyFont="1" applyFill="1" applyBorder="1" applyAlignment="1">
      <alignment horizontal="right"/>
    </xf>
    <xf numFmtId="0" fontId="23" fillId="9" borderId="15" xfId="0" applyFont="1" applyFill="1" applyBorder="1" applyAlignment="1">
      <alignment vertical="top" textRotation="90"/>
    </xf>
    <xf numFmtId="0" fontId="14" fillId="9" borderId="15" xfId="0" applyFont="1" applyFill="1" applyBorder="1"/>
    <xf numFmtId="0" fontId="14" fillId="0" borderId="15" xfId="0" applyFont="1" applyBorder="1"/>
    <xf numFmtId="0" fontId="3" fillId="0" borderId="0" xfId="0" applyFont="1" applyAlignment="1"/>
    <xf numFmtId="0" fontId="3" fillId="0" borderId="0" xfId="0" applyFont="1" applyBorder="1" applyAlignment="1"/>
    <xf numFmtId="0" fontId="24" fillId="0" borderId="14" xfId="0" applyFont="1" applyBorder="1" applyAlignment="1"/>
    <xf numFmtId="0" fontId="3" fillId="0" borderId="14" xfId="0" applyFont="1" applyBorder="1" applyAlignment="1"/>
    <xf numFmtId="0" fontId="26" fillId="0" borderId="14" xfId="0" applyFont="1" applyBorder="1" applyAlignment="1">
      <alignment wrapText="1"/>
    </xf>
    <xf numFmtId="0" fontId="26" fillId="8" borderId="14" xfId="0" applyFont="1" applyFill="1" applyBorder="1" applyAlignment="1">
      <alignment vertical="top" wrapText="1"/>
    </xf>
    <xf numFmtId="0" fontId="26" fillId="7" borderId="14" xfId="0" applyFont="1" applyFill="1" applyBorder="1" applyAlignment="1">
      <alignment wrapText="1"/>
    </xf>
    <xf numFmtId="0" fontId="26" fillId="11" borderId="14" xfId="0" applyFont="1" applyFill="1" applyBorder="1" applyAlignment="1">
      <alignment wrapText="1"/>
    </xf>
    <xf numFmtId="0" fontId="26" fillId="12" borderId="14" xfId="0" applyFont="1" applyFill="1" applyBorder="1" applyAlignment="1">
      <alignment wrapText="1"/>
    </xf>
    <xf numFmtId="0" fontId="26" fillId="10" borderId="14" xfId="0" applyFont="1" applyFill="1" applyBorder="1" applyAlignment="1">
      <alignment wrapText="1"/>
    </xf>
    <xf numFmtId="0" fontId="26" fillId="6" borderId="14" xfId="0" applyFont="1" applyFill="1" applyBorder="1" applyAlignment="1">
      <alignment wrapText="1"/>
    </xf>
    <xf numFmtId="0" fontId="26" fillId="16" borderId="14" xfId="0" applyFont="1" applyFill="1" applyBorder="1" applyAlignment="1">
      <alignment wrapText="1"/>
    </xf>
    <xf numFmtId="0" fontId="4" fillId="13" borderId="14" xfId="3" applyFont="1" applyFill="1" applyBorder="1" applyAlignment="1">
      <alignment horizontal="right" vertical="top"/>
    </xf>
    <xf numFmtId="0" fontId="4" fillId="9" borderId="14" xfId="3" applyFont="1" applyFill="1" applyBorder="1" applyAlignment="1">
      <alignment horizontal="right" vertical="top"/>
    </xf>
    <xf numFmtId="0" fontId="4" fillId="15" borderId="14" xfId="0" applyFont="1" applyFill="1" applyBorder="1" applyAlignment="1">
      <alignment horizontal="right"/>
    </xf>
    <xf numFmtId="0" fontId="4" fillId="17" borderId="14" xfId="0" applyFont="1" applyFill="1" applyBorder="1" applyAlignment="1">
      <alignment horizontal="right"/>
    </xf>
    <xf numFmtId="0" fontId="3" fillId="18" borderId="14" xfId="0" applyFont="1" applyFill="1" applyBorder="1" applyAlignment="1"/>
    <xf numFmtId="0" fontId="5" fillId="0" borderId="0" xfId="0" applyFont="1" applyBorder="1" applyAlignment="1">
      <alignment vertical="top" textRotation="90"/>
    </xf>
    <xf numFmtId="0" fontId="5" fillId="0" borderId="16" xfId="0" applyFont="1" applyBorder="1" applyAlignment="1">
      <alignment vertical="top" textRotation="90"/>
    </xf>
    <xf numFmtId="0" fontId="5" fillId="8" borderId="16" xfId="0" applyFont="1" applyFill="1" applyBorder="1" applyAlignment="1">
      <alignment vertical="top" textRotation="90"/>
    </xf>
    <xf numFmtId="0" fontId="5" fillId="7" borderId="16" xfId="0" applyFont="1" applyFill="1" applyBorder="1" applyAlignment="1">
      <alignment vertical="top" textRotation="90"/>
    </xf>
    <xf numFmtId="0" fontId="5" fillId="11" borderId="16" xfId="0" applyFont="1" applyFill="1" applyBorder="1" applyAlignment="1">
      <alignment vertical="top" textRotation="90"/>
    </xf>
    <xf numFmtId="0" fontId="5" fillId="12" borderId="16" xfId="0" applyFont="1" applyFill="1" applyBorder="1" applyAlignment="1">
      <alignment vertical="top" textRotation="90"/>
    </xf>
    <xf numFmtId="0" fontId="5" fillId="10" borderId="16" xfId="0" applyFont="1" applyFill="1" applyBorder="1" applyAlignment="1">
      <alignment vertical="top" textRotation="90"/>
    </xf>
    <xf numFmtId="0" fontId="5" fillId="6" borderId="16" xfId="0" applyFont="1" applyFill="1" applyBorder="1" applyAlignment="1">
      <alignment vertical="top" textRotation="90"/>
    </xf>
    <xf numFmtId="0" fontId="5" fillId="0" borderId="0" xfId="0" applyFont="1" applyAlignment="1">
      <alignment vertical="top" textRotation="90"/>
    </xf>
    <xf numFmtId="0" fontId="5" fillId="16" borderId="16" xfId="0" applyFont="1" applyFill="1" applyBorder="1" applyAlignment="1">
      <alignment vertical="top" textRotation="90"/>
    </xf>
    <xf numFmtId="0" fontId="5" fillId="13" borderId="16" xfId="0" applyFont="1" applyFill="1" applyBorder="1" applyAlignment="1">
      <alignment vertical="top" textRotation="90"/>
    </xf>
    <xf numFmtId="0" fontId="5" fillId="9" borderId="16" xfId="0" applyFont="1" applyFill="1" applyBorder="1" applyAlignment="1">
      <alignment vertical="top" textRotation="90"/>
    </xf>
    <xf numFmtId="0" fontId="5" fillId="15" borderId="16" xfId="0" applyFont="1" applyFill="1" applyBorder="1" applyAlignment="1">
      <alignment vertical="top" textRotation="90"/>
    </xf>
    <xf numFmtId="0" fontId="5" fillId="17" borderId="16" xfId="0" applyFont="1" applyFill="1" applyBorder="1" applyAlignment="1">
      <alignment vertical="top" textRotation="90"/>
    </xf>
    <xf numFmtId="0" fontId="5" fillId="18" borderId="24" xfId="0" applyFont="1" applyFill="1" applyBorder="1" applyAlignment="1">
      <alignment vertical="top" textRotation="90"/>
    </xf>
    <xf numFmtId="0" fontId="13" fillId="19" borderId="0" xfId="3" applyFont="1" applyFill="1" applyAlignment="1">
      <alignment horizontal="right"/>
    </xf>
    <xf numFmtId="0" fontId="4" fillId="0" borderId="0" xfId="0" applyNumberFormat="1" applyFont="1" applyAlignment="1">
      <alignment vertical="center" wrapText="1"/>
    </xf>
    <xf numFmtId="0" fontId="5" fillId="19" borderId="16" xfId="0" applyFont="1" applyFill="1" applyBorder="1" applyAlignment="1">
      <alignment vertical="top" textRotation="90"/>
    </xf>
    <xf numFmtId="0" fontId="26" fillId="19" borderId="14" xfId="0" applyFont="1" applyFill="1" applyBorder="1" applyAlignment="1">
      <alignment wrapText="1"/>
    </xf>
  </cellXfs>
  <cellStyles count="6">
    <cellStyle name="20% - Accent6" xfId="4" builtinId="50"/>
    <cellStyle name="Hyperlink" xfId="5" builtinId="8"/>
    <cellStyle name="Input" xfId="1" builtinId="20"/>
    <cellStyle name="Normal" xfId="0" builtinId="0"/>
    <cellStyle name="Normal 2" xfId="3" xr:uid="{00000000-0005-0000-0000-000004000000}"/>
    <cellStyle name="Normal 3" xfId="2" xr:uid="{00000000-0005-0000-0000-000005000000}"/>
  </cellStyles>
  <dxfs count="178">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Calibri"/>
        <family val="2"/>
        <scheme val="minor"/>
      </font>
    </dxf>
    <dxf>
      <numFmt numFmtId="165" formatCode="[$-F800]dddd\,\ mmmm\ dd\,\ yyyy"/>
      <alignment horizontal="left" vertical="bottom" textRotation="0" wrapText="0" indent="0" justifyLastLine="0" shrinkToFit="0" readingOrder="0"/>
    </dxf>
    <dxf>
      <font>
        <b/>
      </font>
      <alignment horizontal="general" vertical="top" textRotation="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fill>
        <patternFill patternType="solid">
          <fgColor theme="6" tint="0.79998168889431442"/>
          <bgColor theme="6" tint="0.79998168889431442"/>
        </patternFill>
      </fill>
    </dxf>
    <dxf>
      <font>
        <b val="0"/>
        <i val="0"/>
        <strike val="0"/>
        <condense val="0"/>
        <extend val="0"/>
        <outline val="0"/>
        <shadow val="0"/>
        <u val="none"/>
        <vertAlign val="baseline"/>
        <sz val="11"/>
        <color theme="6" tint="-0.249977111117893"/>
        <name val="Calibri"/>
        <scheme val="minor"/>
      </font>
      <fill>
        <patternFill patternType="solid">
          <fgColor theme="6" tint="0.79998168889431442"/>
          <bgColor theme="6" tint="0.79998168889431442"/>
        </patternFill>
      </fill>
    </dxf>
    <dxf>
      <border outline="0">
        <bottom style="thin">
          <color theme="6"/>
        </bottom>
      </border>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6" tint="-0.249977111117893"/>
        <name val="Calibri"/>
        <scheme val="minor"/>
      </font>
      <fill>
        <patternFill patternType="solid">
          <fgColor theme="6" tint="0.79998168889431442"/>
          <bgColor theme="6" tint="0.79998168889431442"/>
        </patternFill>
      </fill>
    </dxf>
    <dxf>
      <font>
        <b val="0"/>
        <i val="0"/>
        <strike val="0"/>
        <condense val="0"/>
        <extend val="0"/>
        <outline val="0"/>
        <shadow val="0"/>
        <u val="none"/>
        <vertAlign val="baseline"/>
        <sz val="11"/>
        <color theme="6" tint="-0.249977111117893"/>
        <name val="Calibri"/>
        <scheme val="minor"/>
      </font>
      <fill>
        <patternFill patternType="solid">
          <fgColor theme="6" tint="0.79998168889431442"/>
          <bgColor theme="6" tint="0.79998168889431442"/>
        </patternFill>
      </fill>
    </dxf>
    <dxf>
      <border outline="0">
        <bottom style="thin">
          <color theme="6"/>
        </bottom>
      </border>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6" tint="-0.249977111117893"/>
        <name val="Calibri"/>
        <scheme val="minor"/>
      </font>
      <fill>
        <patternFill patternType="solid">
          <fgColor theme="6" tint="0.79998168889431442"/>
          <bgColor theme="6" tint="0.79998168889431442"/>
        </patternFill>
      </fill>
    </dxf>
    <dxf>
      <font>
        <b val="0"/>
        <i val="0"/>
        <strike val="0"/>
        <condense val="0"/>
        <extend val="0"/>
        <outline val="0"/>
        <shadow val="0"/>
        <u val="none"/>
        <vertAlign val="baseline"/>
        <sz val="11"/>
        <color theme="6" tint="-0.249977111117893"/>
        <name val="Calibri"/>
        <scheme val="minor"/>
      </font>
      <fill>
        <patternFill patternType="solid">
          <fgColor theme="6" tint="0.79998168889431442"/>
          <bgColor theme="6" tint="0.79998168889431442"/>
        </patternFill>
      </fill>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font>
        <b/>
      </font>
      <alignment horizontal="general" vertical="top" textRotation="0" indent="0" justifyLastLine="0" shrinkToFit="0" readingOrder="0"/>
    </dxf>
    <dxf>
      <font>
        <b/>
      </font>
      <alignment horizontal="general" vertical="top" textRotation="0" wrapText="1" indent="0" justifyLastLine="0" shrinkToFit="0" readingOrder="0"/>
    </dxf>
    <dxf>
      <font>
        <b val="0"/>
        <i val="0"/>
        <strike val="0"/>
        <condense val="0"/>
        <extend val="0"/>
        <outline val="0"/>
        <shadow val="0"/>
        <u val="none"/>
        <vertAlign val="baseline"/>
        <sz val="12"/>
        <color theme="1"/>
        <name val="Calibri"/>
        <scheme val="minor"/>
      </font>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fgColor indexed="64"/>
          <bgColor theme="9" tint="0.5999938962981048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alignment horizontal="general" vertical="bottom" textRotation="0" wrapText="1" indent="0" justifyLastLine="0" shrinkToFit="0" readingOrder="0"/>
    </dxf>
    <dxf>
      <font>
        <b val="0"/>
        <i val="0"/>
        <strike val="0"/>
        <condense val="0"/>
        <extend val="0"/>
        <outline val="0"/>
        <shadow val="0"/>
        <u val="none"/>
        <vertAlign val="baseline"/>
        <sz val="14"/>
        <color theme="1"/>
        <name val="Calibri"/>
        <scheme val="minor"/>
      </font>
      <fill>
        <patternFill patternType="solid">
          <fgColor indexed="64"/>
          <bgColor theme="5" tint="0.59999389629810485"/>
        </patternFill>
      </fill>
      <alignment horizontal="general" vertical="bottom" textRotation="0" wrapText="1" indent="0" justifyLastLine="0" shrinkToFit="0" readingOrder="0"/>
    </dxf>
    <dxf>
      <font>
        <b val="0"/>
        <i val="0"/>
        <strike val="0"/>
        <condense val="0"/>
        <extend val="0"/>
        <outline val="0"/>
        <shadow val="0"/>
        <u val="none"/>
        <vertAlign val="baseline"/>
        <sz val="14"/>
        <color theme="1"/>
        <name val="Calibri"/>
        <scheme val="minor"/>
      </font>
      <alignment horizontal="general" vertical="bottom" textRotation="0" wrapText="1" indent="0" justifyLastLine="0" shrinkToFit="0" readingOrder="0"/>
    </dxf>
    <dxf>
      <font>
        <b val="0"/>
        <i val="0"/>
        <strike val="0"/>
        <condense val="0"/>
        <extend val="0"/>
        <outline val="0"/>
        <shadow val="0"/>
        <u val="none"/>
        <vertAlign val="baseline"/>
        <sz val="14"/>
        <color theme="1"/>
        <name val="Calibri"/>
        <scheme val="minor"/>
      </font>
      <alignment horizontal="general" vertical="bottom" textRotation="0" wrapText="1" indent="0" justifyLastLine="0" shrinkToFit="0" readingOrder="0"/>
    </dxf>
    <dxf>
      <font>
        <b val="0"/>
        <i val="0"/>
        <strike val="0"/>
        <condense val="0"/>
        <extend val="0"/>
        <outline val="0"/>
        <shadow val="0"/>
        <u val="none"/>
        <vertAlign val="baseline"/>
        <sz val="14"/>
        <color theme="1"/>
        <name val="Calibri"/>
        <scheme val="minor"/>
      </font>
      <alignment horizontal="general" vertical="bottom" textRotation="0" wrapText="1" indent="0" justifyLastLine="0" shrinkToFit="0" readingOrder="0"/>
    </dxf>
    <dxf>
      <font>
        <b val="0"/>
        <i val="0"/>
        <strike val="0"/>
        <condense val="0"/>
        <extend val="0"/>
        <outline val="0"/>
        <shadow val="0"/>
        <u val="none"/>
        <vertAlign val="baseline"/>
        <sz val="14"/>
        <color theme="1"/>
        <name val="Calibri"/>
        <scheme val="minor"/>
      </font>
      <alignment horizontal="general" vertical="bottom" textRotation="0" wrapText="1" indent="0" justifyLastLine="0" shrinkToFit="0" readingOrder="0"/>
    </dxf>
    <dxf>
      <font>
        <b val="0"/>
        <i val="0"/>
        <strike val="0"/>
        <condense val="0"/>
        <extend val="0"/>
        <outline val="0"/>
        <shadow val="0"/>
        <u val="none"/>
        <vertAlign val="baseline"/>
        <sz val="14"/>
        <color theme="1"/>
        <name val="Calibri"/>
        <scheme val="minor"/>
      </font>
      <alignment horizontal="general" vertical="bottom" textRotation="0" wrapText="1" indent="0" justifyLastLine="0" shrinkToFit="0" readingOrder="0"/>
    </dxf>
    <dxf>
      <font>
        <b val="0"/>
        <i val="0"/>
        <strike val="0"/>
        <condense val="0"/>
        <extend val="0"/>
        <outline val="0"/>
        <shadow val="0"/>
        <u val="none"/>
        <vertAlign val="baseline"/>
        <sz val="14"/>
        <color theme="1"/>
        <name val="Calibri"/>
        <scheme val="minor"/>
      </font>
      <alignment horizontal="general" vertical="bottom" textRotation="0" wrapText="1" indent="0" justifyLastLine="0" shrinkToFit="0" readingOrder="0"/>
    </dxf>
    <dxf>
      <font>
        <b val="0"/>
        <i val="0"/>
        <strike val="0"/>
        <condense val="0"/>
        <extend val="0"/>
        <outline val="0"/>
        <shadow val="0"/>
        <u val="none"/>
        <vertAlign val="baseline"/>
        <sz val="14"/>
        <color theme="1"/>
        <name val="Calibri"/>
        <scheme val="minor"/>
      </font>
      <alignment horizontal="general" vertical="bottom" textRotation="0" wrapText="1" indent="0" justifyLastLine="0" shrinkToFit="0" readingOrder="0"/>
    </dxf>
    <dxf>
      <font>
        <b val="0"/>
        <i val="0"/>
        <strike val="0"/>
        <condense val="0"/>
        <extend val="0"/>
        <outline val="0"/>
        <shadow val="0"/>
        <u val="none"/>
        <vertAlign val="baseline"/>
        <sz val="14"/>
        <color theme="1"/>
        <name val="Calibri"/>
        <scheme val="minor"/>
      </font>
      <fill>
        <patternFill patternType="solid">
          <fgColor indexed="64"/>
          <bgColor theme="6" tint="0.59999389629810485"/>
        </patternFill>
      </fill>
      <alignment horizontal="general" vertical="bottom" textRotation="0" wrapText="1" indent="0" justifyLastLine="0" shrinkToFit="0" readingOrder="0"/>
    </dxf>
    <dxf>
      <font>
        <b val="0"/>
        <i val="0"/>
        <strike val="0"/>
        <condense val="0"/>
        <extend val="0"/>
        <outline val="0"/>
        <shadow val="0"/>
        <u val="none"/>
        <vertAlign val="baseline"/>
        <sz val="14"/>
        <color theme="1"/>
        <name val="Calibri"/>
        <scheme val="minor"/>
      </font>
      <alignment horizontal="general" vertical="bottom" textRotation="0" wrapText="1" indent="0" justifyLastLine="0" shrinkToFit="0" readingOrder="0"/>
    </dxf>
    <dxf>
      <font>
        <b val="0"/>
        <i val="0"/>
        <strike val="0"/>
        <condense val="0"/>
        <extend val="0"/>
        <outline val="0"/>
        <shadow val="0"/>
        <u val="none"/>
        <vertAlign val="baseline"/>
        <sz val="14"/>
        <color theme="1"/>
        <name val="Calibri"/>
        <scheme val="minor"/>
      </font>
      <alignment horizontal="general" vertical="bottom" textRotation="0" wrapText="1" indent="0" justifyLastLine="0" shrinkToFit="0" readingOrder="0"/>
    </dxf>
    <dxf>
      <font>
        <b val="0"/>
        <i val="0"/>
        <strike val="0"/>
        <condense val="0"/>
        <extend val="0"/>
        <outline val="0"/>
        <shadow val="0"/>
        <u val="none"/>
        <vertAlign val="baseline"/>
        <sz val="14"/>
        <color theme="1"/>
        <name val="Calibri"/>
        <scheme val="minor"/>
      </font>
      <alignment horizontal="general" vertical="bottom" textRotation="0" wrapText="1" indent="0" justifyLastLine="0" shrinkToFit="0" readingOrder="0"/>
    </dxf>
    <dxf>
      <font>
        <b val="0"/>
        <i val="0"/>
        <strike val="0"/>
        <condense val="0"/>
        <extend val="0"/>
        <outline val="0"/>
        <shadow val="0"/>
        <u val="none"/>
        <vertAlign val="baseline"/>
        <sz val="14"/>
        <color theme="1"/>
        <name val="Calibri"/>
        <scheme val="minor"/>
      </font>
      <fill>
        <patternFill>
          <fgColor indexed="64"/>
          <bgColor theme="6" tint="0.39997558519241921"/>
        </patternFill>
      </fill>
      <alignment horizontal="general" vertical="bottom" textRotation="0" wrapText="1" indent="0" justifyLastLine="0" shrinkToFit="0" readingOrder="0"/>
    </dxf>
    <dxf>
      <font>
        <b val="0"/>
        <i val="0"/>
        <strike val="0"/>
        <condense val="0"/>
        <extend val="0"/>
        <outline val="0"/>
        <shadow val="0"/>
        <u val="none"/>
        <vertAlign val="baseline"/>
        <sz val="14"/>
        <color theme="1"/>
        <name val="Calibri"/>
        <scheme val="minor"/>
      </font>
      <alignment horizontal="general" vertical="bottom" textRotation="0" wrapText="1" indent="0" justifyLastLine="0" shrinkToFit="0" readingOrder="0"/>
    </dxf>
    <dxf>
      <font>
        <b val="0"/>
        <i val="0"/>
        <strike val="0"/>
        <condense val="0"/>
        <extend val="0"/>
        <outline val="0"/>
        <shadow val="0"/>
        <u val="none"/>
        <vertAlign val="baseline"/>
        <sz val="14"/>
        <color theme="1"/>
        <name val="Calibri"/>
        <scheme val="minor"/>
      </font>
      <alignment horizontal="general" vertical="bottom" textRotation="0" wrapText="1" indent="0" justifyLastLine="0" shrinkToFit="0" readingOrder="0"/>
    </dxf>
    <dxf>
      <font>
        <b val="0"/>
        <i val="0"/>
        <strike val="0"/>
        <condense val="0"/>
        <extend val="0"/>
        <outline val="0"/>
        <shadow val="0"/>
        <u val="none"/>
        <vertAlign val="baseline"/>
        <sz val="14"/>
        <color theme="1"/>
        <name val="Calibri"/>
        <scheme val="minor"/>
      </font>
      <alignment horizontal="general" vertical="bottom" textRotation="0" wrapText="1" indent="0" justifyLastLine="0" shrinkToFit="0" readingOrder="0"/>
    </dxf>
    <dxf>
      <font>
        <b val="0"/>
        <i val="0"/>
        <strike val="0"/>
        <condense val="0"/>
        <extend val="0"/>
        <outline val="0"/>
        <shadow val="0"/>
        <u val="none"/>
        <vertAlign val="baseline"/>
        <sz val="14"/>
        <color theme="1"/>
        <name val="Calibri"/>
        <scheme val="minor"/>
      </font>
      <fill>
        <patternFill patternType="solid">
          <fgColor indexed="64"/>
          <bgColor theme="8" tint="0.59999389629810485"/>
        </patternFill>
      </fill>
      <alignment horizontal="general" vertical="bottom" textRotation="0" wrapText="1" indent="0" justifyLastLine="0" shrinkToFit="0" readingOrder="0"/>
    </dxf>
    <dxf>
      <font>
        <b val="0"/>
        <i val="0"/>
        <strike val="0"/>
        <condense val="0"/>
        <extend val="0"/>
        <outline val="0"/>
        <shadow val="0"/>
        <u val="none"/>
        <vertAlign val="baseline"/>
        <sz val="14"/>
        <color theme="1"/>
        <name val="Calibri"/>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14"/>
        <color theme="1"/>
        <name val="Calibri"/>
        <scheme val="minor"/>
      </font>
      <alignment horizontal="general" vertical="bottom" textRotation="0" wrapText="1" indent="0" justifyLastLine="0" shrinkToFit="0" readingOrder="0"/>
    </dxf>
    <dxf>
      <font>
        <b val="0"/>
        <i val="0"/>
        <strike val="0"/>
        <condense val="0"/>
        <extend val="0"/>
        <outline val="0"/>
        <shadow val="0"/>
        <u val="none"/>
        <vertAlign val="baseline"/>
        <sz val="14"/>
        <color theme="1"/>
        <name val="Calibri"/>
        <scheme val="minor"/>
      </font>
      <fill>
        <patternFill patternType="solid">
          <fgColor indexed="64"/>
          <bgColor theme="8" tint="0.39997558519241921"/>
        </patternFill>
      </fill>
      <alignment horizontal="general" vertical="bottom" textRotation="0" wrapText="1" indent="0" justifyLastLine="0" shrinkToFit="0" readingOrder="0"/>
    </dxf>
    <dxf>
      <font>
        <b val="0"/>
        <i val="0"/>
        <strike val="0"/>
        <condense val="0"/>
        <extend val="0"/>
        <outline val="0"/>
        <shadow val="0"/>
        <u val="none"/>
        <vertAlign val="baseline"/>
        <sz val="14"/>
        <color theme="1"/>
        <name val="Calibri"/>
        <scheme val="minor"/>
      </font>
      <alignment horizontal="general" vertical="bottom" textRotation="0" wrapText="1" indent="0" justifyLastLine="0" shrinkToFit="0" readingOrder="0"/>
    </dxf>
    <dxf>
      <font>
        <b val="0"/>
        <i val="0"/>
        <strike val="0"/>
        <condense val="0"/>
        <extend val="0"/>
        <outline val="0"/>
        <shadow val="0"/>
        <u val="none"/>
        <vertAlign val="baseline"/>
        <sz val="14"/>
        <color theme="1"/>
        <name val="Calibri"/>
        <scheme val="minor"/>
      </font>
      <alignment horizontal="general" vertical="bottom" textRotation="0" wrapText="1" indent="0" justifyLastLine="0" shrinkToFit="0" readingOrder="0"/>
    </dxf>
    <dxf>
      <font>
        <b val="0"/>
        <i val="0"/>
        <strike val="0"/>
        <condense val="0"/>
        <extend val="0"/>
        <outline val="0"/>
        <shadow val="0"/>
        <u val="none"/>
        <vertAlign val="baseline"/>
        <sz val="14"/>
        <color theme="1"/>
        <name val="Calibri"/>
        <scheme val="minor"/>
      </font>
      <alignment horizontal="general" vertical="bottom" textRotation="0" wrapText="1" indent="0" justifyLastLine="0" shrinkToFit="0" readingOrder="0"/>
    </dxf>
    <dxf>
      <font>
        <b val="0"/>
        <i val="0"/>
        <strike val="0"/>
        <condense val="0"/>
        <extend val="0"/>
        <outline val="0"/>
        <shadow val="0"/>
        <u val="none"/>
        <vertAlign val="baseline"/>
        <sz val="14"/>
        <color theme="1"/>
        <name val="Calibri"/>
        <scheme val="minor"/>
      </font>
      <fill>
        <patternFill patternType="solid">
          <fgColor indexed="64"/>
          <bgColor theme="7" tint="0.59999389629810485"/>
        </patternFill>
      </fill>
      <alignment horizontal="general" vertical="bottom" textRotation="0" wrapText="1" indent="0" justifyLastLine="0" shrinkToFit="0" readingOrder="0"/>
    </dxf>
    <dxf>
      <font>
        <b val="0"/>
        <i val="0"/>
        <strike val="0"/>
        <condense val="0"/>
        <extend val="0"/>
        <outline val="0"/>
        <shadow val="0"/>
        <u val="none"/>
        <vertAlign val="baseline"/>
        <sz val="14"/>
        <color theme="1"/>
        <name val="Calibri"/>
        <scheme val="minor"/>
      </font>
      <alignment horizontal="general" vertical="bottom" textRotation="0" wrapText="1" indent="0" justifyLastLine="0" shrinkToFit="0" readingOrder="0"/>
    </dxf>
    <dxf>
      <font>
        <b val="0"/>
        <i val="0"/>
        <strike val="0"/>
        <condense val="0"/>
        <extend val="0"/>
        <outline val="0"/>
        <shadow val="0"/>
        <u val="none"/>
        <vertAlign val="baseline"/>
        <sz val="14"/>
        <color theme="1"/>
        <name val="Calibri"/>
        <scheme val="minor"/>
      </font>
      <alignment horizontal="general" vertical="bottom" textRotation="0" wrapText="1" indent="0" justifyLastLine="0" shrinkToFit="0" readingOrder="0"/>
    </dxf>
    <dxf>
      <font>
        <b val="0"/>
        <i val="0"/>
        <strike val="0"/>
        <condense val="0"/>
        <extend val="0"/>
        <outline val="0"/>
        <shadow val="0"/>
        <u val="none"/>
        <vertAlign val="baseline"/>
        <sz val="14"/>
        <color theme="1"/>
        <name val="Calibri"/>
        <scheme val="minor"/>
      </font>
      <alignment horizontal="general" vertical="bottom" textRotation="0" wrapText="1" indent="0" justifyLastLine="0" shrinkToFit="0" readingOrder="0"/>
    </dxf>
    <dxf>
      <font>
        <b val="0"/>
        <i val="0"/>
        <strike val="0"/>
        <condense val="0"/>
        <extend val="0"/>
        <outline val="0"/>
        <shadow val="0"/>
        <u val="none"/>
        <vertAlign val="baseline"/>
        <sz val="14"/>
        <color theme="1"/>
        <name val="Calibri"/>
        <scheme val="minor"/>
      </font>
      <fill>
        <patternFill patternType="solid">
          <fgColor indexed="64"/>
          <bgColor theme="7" tint="0.39997558519241921"/>
        </patternFill>
      </fill>
      <alignment horizontal="general" vertical="bottom" textRotation="0" wrapText="1" indent="0" justifyLastLine="0" shrinkToFit="0" readingOrder="0"/>
    </dxf>
    <dxf>
      <font>
        <b val="0"/>
        <i val="0"/>
        <strike val="0"/>
        <condense val="0"/>
        <extend val="0"/>
        <outline val="0"/>
        <shadow val="0"/>
        <u val="none"/>
        <vertAlign val="baseline"/>
        <sz val="14"/>
        <color theme="1"/>
        <name val="Calibri"/>
        <scheme val="minor"/>
      </font>
      <alignment horizontal="general" vertical="bottom" textRotation="0" wrapText="1" indent="0" justifyLastLine="0" shrinkToFit="0" readingOrder="0"/>
    </dxf>
    <dxf>
      <font>
        <b val="0"/>
        <i val="0"/>
        <strike val="0"/>
        <condense val="0"/>
        <extend val="0"/>
        <outline val="0"/>
        <shadow val="0"/>
        <u val="none"/>
        <vertAlign val="baseline"/>
        <sz val="14"/>
        <color theme="1"/>
        <name val="Calibri"/>
        <scheme val="minor"/>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4"/>
        <color theme="1"/>
        <name val="Calibri"/>
        <scheme val="minor"/>
      </font>
      <alignment horizontal="general" vertical="bottom" textRotation="0" wrapText="1" indent="0" justifyLastLine="0" shrinkToFit="0" readingOrder="0"/>
    </dxf>
    <dxf>
      <font>
        <b val="0"/>
        <i val="0"/>
        <strike val="0"/>
        <condense val="0"/>
        <extend val="0"/>
        <outline val="0"/>
        <shadow val="0"/>
        <u val="none"/>
        <vertAlign val="baseline"/>
        <sz val="14"/>
        <color theme="1"/>
        <name val="Calibri"/>
        <scheme val="minor"/>
      </font>
      <fill>
        <patternFill patternType="solid">
          <fgColor indexed="64"/>
          <bgColor theme="4" tint="0.59999389629810485"/>
        </patternFill>
      </fill>
      <alignment horizontal="general" vertical="bottom" textRotation="0" wrapText="1" indent="0" justifyLastLine="0" shrinkToFit="0" readingOrder="0"/>
    </dxf>
    <dxf>
      <font>
        <b val="0"/>
        <i val="0"/>
        <strike val="0"/>
        <condense val="0"/>
        <extend val="0"/>
        <outline val="0"/>
        <shadow val="0"/>
        <u val="none"/>
        <vertAlign val="baseline"/>
        <sz val="14"/>
        <color theme="1"/>
        <name val="Calibri"/>
        <scheme val="minor"/>
      </font>
      <alignment horizontal="general" vertical="bottom" textRotation="0" wrapText="1" indent="0" justifyLastLine="0" shrinkToFit="0" readingOrder="0"/>
    </dxf>
    <dxf>
      <font>
        <b val="0"/>
        <i val="0"/>
        <strike val="0"/>
        <condense val="0"/>
        <extend val="0"/>
        <outline val="0"/>
        <shadow val="0"/>
        <u val="none"/>
        <vertAlign val="baseline"/>
        <sz val="14"/>
        <color theme="1"/>
        <name val="Calibri"/>
        <scheme val="minor"/>
      </font>
      <alignment horizontal="general" vertical="bottom" textRotation="0" wrapText="1" indent="0" justifyLastLine="0" shrinkToFit="0" readingOrder="0"/>
    </dxf>
    <dxf>
      <font>
        <b val="0"/>
        <i val="0"/>
        <strike val="0"/>
        <condense val="0"/>
        <extend val="0"/>
        <outline val="0"/>
        <shadow val="0"/>
        <u val="none"/>
        <vertAlign val="baseline"/>
        <sz val="14"/>
        <color theme="1"/>
        <name val="Calibri"/>
        <scheme val="minor"/>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dxf>
    <dxf>
      <font>
        <b val="0"/>
        <i val="0"/>
        <strike val="0"/>
        <condense val="0"/>
        <extend val="0"/>
        <outline val="0"/>
        <shadow val="0"/>
        <u val="none"/>
        <vertAlign val="baseline"/>
        <sz val="14"/>
        <color theme="1"/>
        <name val="Calibri"/>
        <scheme val="minor"/>
      </font>
      <fill>
        <patternFill patternType="solid">
          <fgColor indexed="64"/>
          <bgColor theme="4" tint="0.39997558519241921"/>
        </patternFill>
      </fill>
      <alignment horizontal="general" vertical="top" textRotation="0" wrapText="1" indent="0" justifyLastLine="0" shrinkToFit="0" readingOrder="0"/>
    </dxf>
    <dxf>
      <font>
        <b val="0"/>
        <i val="0"/>
        <strike val="0"/>
        <condense val="0"/>
        <extend val="0"/>
        <outline val="0"/>
        <shadow val="0"/>
        <u val="none"/>
        <vertAlign val="baseline"/>
        <sz val="14"/>
        <color theme="1"/>
        <name val="Calibri"/>
        <scheme val="minor"/>
      </font>
      <alignment horizontal="general" vertical="bottom" textRotation="0" wrapText="1" indent="0" justifyLastLine="0" shrinkToFit="0" readingOrder="0"/>
    </dxf>
    <dxf>
      <font>
        <b val="0"/>
        <i val="0"/>
        <strike val="0"/>
        <condense val="0"/>
        <extend val="0"/>
        <outline val="0"/>
        <shadow val="0"/>
        <u val="none"/>
        <vertAlign val="baseline"/>
        <sz val="14"/>
        <color theme="1"/>
        <name val="Calibri"/>
        <family val="2"/>
        <scheme val="minor"/>
      </font>
      <alignment horizontal="general" vertical="bottom" textRotation="0" wrapText="1" indent="0" justifyLastLine="0" shrinkToFit="0" readingOrder="0"/>
    </dxf>
    <dxf>
      <font>
        <b/>
        <i val="0"/>
        <strike val="0"/>
        <condense val="0"/>
        <extend val="0"/>
        <outline val="0"/>
        <shadow val="0"/>
        <u val="none"/>
        <vertAlign val="baseline"/>
        <sz val="18"/>
        <color theme="1"/>
        <name val="Calibri"/>
        <family val="2"/>
        <scheme val="minor"/>
      </font>
      <fill>
        <patternFill patternType="solid">
          <fgColor indexed="64"/>
          <bgColor theme="8" tint="-0.249977111117893"/>
        </patternFill>
      </fill>
      <alignment horizontal="right" vertical="bottom" textRotation="0" wrapText="0" indent="0" justifyLastLine="0" shrinkToFit="0" readingOrder="0"/>
    </dxf>
    <dxf>
      <font>
        <b val="0"/>
        <i val="0"/>
        <strike val="0"/>
        <condense val="0"/>
        <extend val="0"/>
        <outline val="0"/>
        <shadow val="0"/>
        <u val="none"/>
        <vertAlign val="baseline"/>
        <sz val="14"/>
        <color theme="1"/>
        <name val="Calibri"/>
        <family val="2"/>
        <scheme val="minor"/>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14"/>
        <color theme="1"/>
        <name val="Calibri"/>
        <scheme val="minor"/>
      </font>
      <alignment horizontal="general" vertical="bottom" textRotation="0" wrapText="1" indent="0" justifyLastLine="0" shrinkToFit="0" readingOrder="0"/>
    </dxf>
    <dxf>
      <font>
        <b val="0"/>
        <i val="0"/>
        <strike val="0"/>
        <condense val="0"/>
        <extend val="0"/>
        <outline val="0"/>
        <shadow val="0"/>
        <u val="none"/>
        <vertAlign val="baseline"/>
        <sz val="14"/>
        <color theme="1"/>
        <name val="Calibri"/>
        <scheme val="minor"/>
      </font>
      <alignment horizontal="general" vertical="bottom" textRotation="0" wrapText="1" indent="0" justifyLastLine="0" shrinkToFit="0" readingOrder="0"/>
    </dxf>
    <dxf>
      <font>
        <b val="0"/>
        <i val="0"/>
        <strike val="0"/>
        <condense val="0"/>
        <extend val="0"/>
        <outline val="0"/>
        <shadow val="0"/>
        <u val="none"/>
        <vertAlign val="baseline"/>
        <sz val="14"/>
        <color theme="1"/>
        <name val="Calibri"/>
        <scheme val="minor"/>
      </font>
      <alignment horizontal="general" vertical="bottom" textRotation="0" wrapText="1" indent="0" justifyLastLine="0" shrinkToFit="0" readingOrder="0"/>
    </dxf>
    <dxf>
      <font>
        <b val="0"/>
        <i val="0"/>
        <strike val="0"/>
        <condense val="0"/>
        <extend val="0"/>
        <outline val="0"/>
        <shadow val="0"/>
        <u val="none"/>
        <vertAlign val="baseline"/>
        <sz val="14"/>
        <color theme="1"/>
        <name val="Calibri"/>
        <scheme val="minor"/>
      </font>
      <numFmt numFmtId="0" formatCode="General"/>
      <alignment horizontal="general" vertical="bottom" textRotation="0" wrapText="1" indent="0" justifyLastLine="0" shrinkToFit="0" readingOrder="0"/>
    </dxf>
    <dxf>
      <font>
        <b/>
        <i val="0"/>
        <strike val="0"/>
        <condense val="0"/>
        <extend val="0"/>
        <outline val="0"/>
        <shadow val="0"/>
        <u val="none"/>
        <vertAlign val="baseline"/>
        <sz val="12"/>
        <color theme="1"/>
        <name val="Calibri"/>
        <family val="2"/>
        <scheme val="minor"/>
      </font>
      <numFmt numFmtId="0" formatCode="General"/>
      <alignment horizontal="general" vertical="center" textRotation="0" wrapText="1" indent="0" justifyLastLine="0" shrinkToFit="0" readingOrder="0"/>
    </dxf>
    <dxf>
      <font>
        <b val="0"/>
        <i val="0"/>
        <strike val="0"/>
        <condense val="0"/>
        <extend val="0"/>
        <outline val="0"/>
        <shadow val="0"/>
        <u val="none"/>
        <vertAlign val="baseline"/>
        <sz val="12"/>
        <color theme="1"/>
        <name val="Calibri"/>
        <scheme val="minor"/>
      </font>
      <alignment horizontal="general" vertical="bottom" textRotation="0" wrapText="1" indent="0" justifyLastLine="0" shrinkToFit="0" readingOrder="0"/>
    </dxf>
    <dxf>
      <border>
        <bottom style="thick">
          <color indexed="64"/>
        </bottom>
      </border>
    </dxf>
    <dxf>
      <font>
        <b/>
        <i val="0"/>
        <strike val="0"/>
        <condense val="0"/>
        <extend val="0"/>
        <outline val="0"/>
        <shadow val="0"/>
        <u val="none"/>
        <vertAlign val="baseline"/>
        <sz val="14"/>
        <color theme="1"/>
        <name val="Calibri"/>
        <family val="2"/>
        <scheme val="minor"/>
      </font>
      <alignment horizontal="general" vertical="top" textRotation="90" wrapText="0" indent="0" justifyLastLine="0" shrinkToFit="0" readingOrder="0"/>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402771</xdr:colOff>
          <xdr:row>2</xdr:row>
          <xdr:rowOff>174171</xdr:rowOff>
        </xdr:from>
        <xdr:to>
          <xdr:col>8</xdr:col>
          <xdr:colOff>136071</xdr:colOff>
          <xdr:row>4</xdr:row>
          <xdr:rowOff>174171</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73152" tIns="77724" rIns="73152" bIns="77724" anchor="ctr" upright="1"/>
            <a:lstStyle/>
            <a:p>
              <a:pPr algn="ctr" rtl="0">
                <a:defRPr sz="1000"/>
              </a:pPr>
              <a:r>
                <a:rPr lang="en-GB" sz="2400" b="1" i="0" u="none" strike="noStrike" baseline="0">
                  <a:solidFill>
                    <a:srgbClr val="000000"/>
                  </a:solidFill>
                  <a:latin typeface="Calibri"/>
                  <a:cs typeface="Calibri"/>
                </a:rPr>
                <a:t>1. run SAP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364671</xdr:colOff>
          <xdr:row>5</xdr:row>
          <xdr:rowOff>0</xdr:rowOff>
        </xdr:from>
        <xdr:to>
          <xdr:col>8</xdr:col>
          <xdr:colOff>136071</xdr:colOff>
          <xdr:row>6</xdr:row>
          <xdr:rowOff>174171</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73152" tIns="77724" rIns="73152" bIns="77724" anchor="ctr" upright="1"/>
            <a:lstStyle/>
            <a:p>
              <a:pPr algn="ctr" rtl="0">
                <a:defRPr sz="1000"/>
              </a:pPr>
              <a:r>
                <a:rPr lang="en-GB" sz="2400" b="1" i="0" u="none" strike="noStrike" baseline="0">
                  <a:solidFill>
                    <a:srgbClr val="000000"/>
                  </a:solidFill>
                  <a:latin typeface="Calibri"/>
                  <a:cs typeface="Calibri"/>
                </a:rPr>
                <a:t>2. run SAP aggregator</a:t>
              </a:r>
            </a:p>
            <a:p>
              <a:pPr algn="ctr" rtl="0">
                <a:defRPr sz="1000"/>
              </a:pPr>
              <a:r>
                <a:rPr lang="en-GB" sz="2400" b="1"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381000</xdr:colOff>
          <xdr:row>7</xdr:row>
          <xdr:rowOff>21771</xdr:rowOff>
        </xdr:from>
        <xdr:to>
          <xdr:col>8</xdr:col>
          <xdr:colOff>152400</xdr:colOff>
          <xdr:row>9</xdr:row>
          <xdr:rowOff>76200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73152" tIns="77724" rIns="73152" bIns="77724" anchor="ctr" upright="1"/>
            <a:lstStyle/>
            <a:p>
              <a:pPr algn="ctr" rtl="0">
                <a:defRPr sz="1000"/>
              </a:pPr>
              <a:r>
                <a:rPr lang="en-GB" sz="2400" b="1" i="0" u="none" strike="noStrike" baseline="0">
                  <a:solidFill>
                    <a:srgbClr val="000000"/>
                  </a:solidFill>
                  <a:latin typeface="Calibri"/>
                  <a:cs typeface="Calibri"/>
                </a:rPr>
                <a:t>3. run pySAP summary</a:t>
              </a:r>
            </a:p>
            <a:p>
              <a:pPr algn="ctr" rtl="0">
                <a:defRPr sz="1000"/>
              </a:pPr>
              <a:r>
                <a:rPr lang="en-GB" sz="2400" b="1" i="0" u="none" strike="noStrike" baseline="0">
                  <a:solidFill>
                    <a:srgbClr val="000000"/>
                  </a:solidFill>
                  <a:latin typeface="Calibri"/>
                  <a:cs typeface="Calibri"/>
                </a:rPr>
                <a:t> SAP_aggregator</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Table4" displayName="Table4" ref="H35:BT55" totalsRowShown="0" headerRowDxfId="87" dataDxfId="85" headerRowBorderDxfId="86">
  <autoFilter ref="H35:BT55" xr:uid="{00000000-0009-0000-0100-000004000000}"/>
  <tableColumns count="65">
    <tableColumn id="1" xr3:uid="{00000000-0010-0000-0000-000001000000}" name="model_run" dataDxfId="84">
      <calculatedColumnFormula>IF(Table4[[#This Row],[tag1]]="",CONCATENATE(T36,U36),CONCATENATE(T36,U36,"_",V36))</calculatedColumnFormula>
    </tableColumn>
    <tableColumn id="2" xr3:uid="{00000000-0010-0000-0000-000002000000}" name="description" dataDxfId="83"/>
    <tableColumn id="10" xr3:uid="{00000000-0010-0000-0000-00000A000000}" name="IesVersion" dataDxfId="82"/>
    <tableColumn id="11" xr3:uid="{00000000-0010-0000-0000-00000B000000}" name="BER_kgCO2/(m2.yr)" dataDxfId="81"/>
    <tableColumn id="13" xr3:uid="{00000000-0010-0000-0000-00000D000000}" name="TER_kgCO2/(m2.yr)" dataDxfId="80"/>
    <tableColumn id="60" xr3:uid="{3DB4E3B3-6509-4E47-99DB-BF323DE9331A}" name="london_plan_run" dataDxfId="79"/>
    <tableColumn id="57" xr3:uid="{DB85E7E6-88B9-4505-A3AC-C9418B88A26C}" name="report_run_name" dataDxfId="78">
      <calculatedColumnFormula>IF(#REF!="","",#REF!)</calculatedColumnFormula>
    </tableColumn>
    <tableColumn id="58" xr3:uid="{CED2BA3B-3654-419A-9562-18A9B001F486}" name="user defined row filters →" dataDxfId="77" dataCellStyle="Normal 2"/>
    <tableColumn id="56" xr3:uid="{396A8387-FBE8-4D1C-B294-52C35B643BB3}" name="as_designed" dataDxfId="76"/>
    <tableColumn id="4" xr3:uid="{00000000-0010-0000-0000-000004000000}" name="report_model_run" dataDxfId="75"/>
    <tableColumn id="5" xr3:uid="{00000000-0010-0000-0000-000005000000}" name="naming model runs →" dataDxfId="74"/>
    <tableColumn id="6" xr3:uid="{00000000-0010-0000-0000-000006000000}" name="counter" dataDxfId="73">
      <calculatedColumnFormula>S35+1</calculatedColumnFormula>
    </tableColumn>
    <tableColumn id="7" xr3:uid="{00000000-0010-0000-0000-000007000000}" name="file_prefix" dataDxfId="72">
      <calculatedColumnFormula>CONCATENATE(CONCATENATE(TEXT((S36-MOD(S36, 10))/100,"0"),TEXT((S36-MOD(S36, 10))/10,"0"),TEXT(MOD(S36,10),"0")),"_")</calculatedColumnFormula>
    </tableColumn>
    <tableColumn id="9" xr3:uid="{00000000-0010-0000-0000-000009000000}" name="tag" dataDxfId="71"/>
    <tableColumn id="8" xr3:uid="{00000000-0010-0000-0000-000008000000}" name="tag1" dataDxfId="70"/>
    <tableColumn id="12" xr3:uid="{00000000-0010-0000-0000-00000C000000}" name="refs and linked files →" dataDxfId="69"/>
    <tableColumn id="17" xr3:uid="{00000000-0010-0000-0000-000011000000}" name="general ref" dataDxfId="68"/>
    <tableColumn id="18" xr3:uid="{00000000-0010-0000-0000-000012000000}" name="drwg ref" dataDxfId="67"/>
    <tableColumn id="50" xr3:uid="{00000000-0010-0000-0000-000032000000}" name="weather data ref" dataDxfId="66"/>
    <tableColumn id="20" xr3:uid="{00000000-0010-0000-0000-000014000000}" name="carbon factors →" dataDxfId="65"/>
    <tableColumn id="21" xr3:uid="{00000000-0010-0000-0000-000015000000}" name="carbon factor ref" dataDxfId="64"/>
    <tableColumn id="22" xr3:uid="{00000000-0010-0000-0000-000016000000}" name="electricity emission factor kgCO2/kWh" dataDxfId="63"/>
    <tableColumn id="23" xr3:uid="{00000000-0010-0000-0000-000017000000}" name="natural gas emission factor kgCO2/kWh" dataDxfId="62"/>
    <tableColumn id="24" xr3:uid="{00000000-0010-0000-0000-000018000000}" name="fabric →" dataDxfId="61"/>
    <tableColumn id="25" xr3:uid="{00000000-0010-0000-0000-000019000000}" name="fabric uvals/gvals" dataDxfId="60"/>
    <tableColumn id="26" xr3:uid="{00000000-0010-0000-0000-00001A000000}" name="fabric description" dataDxfId="59"/>
    <tableColumn id="35" xr3:uid="{00000000-0010-0000-0000-000023000000}" name="Air Permeability (m3/h.m2 @50Pa)" dataDxfId="58"/>
    <tableColumn id="36" xr3:uid="{00000000-0010-0000-0000-000024000000}" name="vent →" dataDxfId="57"/>
    <tableColumn id="37" xr3:uid="{00000000-0010-0000-0000-000025000000}" name="vent description" dataDxfId="56"/>
    <tableColumn id="55" xr3:uid="{9D9333A2-A0FD-4E7A-BDAA-E1B6B572073B}" name="MVHR heat recovery sensible efficiency" dataDxfId="55"/>
    <tableColumn id="42" xr3:uid="{00000000-0010-0000-0000-00002A000000}" name="heat →" dataDxfId="54"/>
    <tableColumn id="43" xr3:uid="{00000000-0010-0000-0000-00002B000000}" name="heating description" dataDxfId="53"/>
    <tableColumn id="53" xr3:uid="{00000000-0010-0000-0000-000035000000}" name="heating control description" dataDxfId="52"/>
    <tableColumn id="44" xr3:uid="{00000000-0010-0000-0000-00002C000000}" name="heating SCoP" dataDxfId="51"/>
    <tableColumn id="29" xr3:uid="{00000000-0010-0000-0000-00001D000000}" name="heating SCoP ref"/>
    <tableColumn id="52" xr3:uid="{00000000-0010-0000-0000-000034000000}" name="vent heat recovery effectiveness"/>
    <tableColumn id="28" xr3:uid="{00000000-0010-0000-0000-00001C000000}" name="dhw →" dataDxfId="50"/>
    <tableColumn id="27" xr3:uid="{00000000-0010-0000-0000-00001B000000}" name="dhw description" dataDxfId="49"/>
    <tableColumn id="30" xr3:uid="{00000000-0010-0000-0000-00001E000000}" name="dhw SCoP" dataDxfId="48"/>
    <tableColumn id="31" xr3:uid="{00000000-0010-0000-0000-00001F000000}" name="dhw SCoP ref" dataDxfId="47"/>
    <tableColumn id="61" xr3:uid="{00000000-0010-0000-0000-00003D000000}" name="cooling →" dataDxfId="46"/>
    <tableColumn id="62" xr3:uid="{00000000-0010-0000-0000-00003E000000}" name="cooling description" dataDxfId="45"/>
    <tableColumn id="33" xr3:uid="{00000000-0010-0000-0000-000021000000}" name="SSEER" dataDxfId="44"/>
    <tableColumn id="34" xr3:uid="{00000000-0010-0000-0000-000022000000}" name="SEER" dataDxfId="43"/>
    <tableColumn id="32" xr3:uid="{00000000-0010-0000-0000-000020000000}" name="EER" dataDxfId="42"/>
    <tableColumn id="38" xr3:uid="{00000000-0010-0000-0000-000026000000}" name="Delivery Efficiency" dataDxfId="41"/>
    <tableColumn id="51" xr3:uid="{00000000-0010-0000-0000-000033000000}" name="cooling ref" dataDxfId="40"/>
    <tableColumn id="47" xr3:uid="{00000000-0010-0000-0000-00002F000000}" name="cooling ref2" dataDxfId="39"/>
    <tableColumn id="70" xr3:uid="{00000000-0010-0000-0000-000046000000}" name="PV →" dataDxfId="38"/>
    <tableColumn id="15" xr3:uid="{00000000-0010-0000-0000-00000F000000}" name="pv description" dataDxfId="37"/>
    <tableColumn id="71" xr3:uid="{00000000-0010-0000-0000-000047000000}" name="module nominal efficiency" dataDxfId="36"/>
    <tableColumn id="72" xr3:uid="{00000000-0010-0000-0000-000048000000}" name="Inclination (deg from horizontal)" dataDxfId="35"/>
    <tableColumn id="73" xr3:uid="{00000000-0010-0000-0000-000049000000}" name="Azimuth (deg from North)" dataDxfId="34"/>
    <tableColumn id="74" xr3:uid="{00000000-0010-0000-0000-00004A000000}" name="Shading Factor" dataDxfId="33"/>
    <tableColumn id="75" xr3:uid="{00000000-0010-0000-0000-00004B000000}" name="PV Area (m2)" dataDxfId="32"/>
    <tableColumn id="16" xr3:uid="{00000000-0010-0000-0000-000010000000}" name="solar thermal →" dataDxfId="31"/>
    <tableColumn id="19" xr3:uid="{00000000-0010-0000-0000-000013000000}" name="solar thermal description" dataDxfId="30"/>
    <tableColumn id="14" xr3:uid="{00000000-0010-0000-0000-00000E000000}" name="solar thermal area (m2)" dataDxfId="29"/>
    <tableColumn id="40" xr3:uid="{00000000-0010-0000-0000-000028000000}" name="lighting →" dataDxfId="28"/>
    <tableColumn id="41" xr3:uid="{00000000-0010-0000-0000-000029000000}" name="lighting description" dataDxfId="27"/>
    <tableColumn id="54" xr3:uid="{A4B2D1F7-23B0-4B9B-8469-4D6191E3423A}" name="lighting efficacy (lm/w)" dataDxfId="26"/>
    <tableColumn id="45" xr3:uid="{00000000-0010-0000-0000-00002D000000}" name="lighting efficiency (W/m2.100lux)" dataDxfId="25"/>
    <tableColumn id="46" xr3:uid="{00000000-0010-0000-0000-00002E000000}" name="lighting controls description" dataDxfId="24"/>
    <tableColumn id="48" xr3:uid="{00000000-0010-0000-0000-000030000000}" name="auxilliary →" dataDxfId="23"/>
    <tableColumn id="49" xr3:uid="{00000000-0010-0000-0000-000031000000}" name="pump type description" dataDxfId="2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follow_links" displayName="follow_links" ref="A1:A3" totalsRowShown="0" headerRowDxfId="21">
  <autoFilter ref="A1:A3" xr:uid="{00000000-0009-0000-0100-000001000000}"/>
  <tableColumns count="1">
    <tableColumn id="1" xr3:uid="{00000000-0010-0000-0100-000001000000}" name="follow_links"/>
  </tableColumns>
  <tableStyleInfo name="TableStyleLight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london_plan_run" displayName="london_plan_run" ref="C1:C4" totalsRowShown="0" headerRowDxfId="20">
  <autoFilter ref="C1:C4" xr:uid="{00000000-0009-0000-0100-000002000000}"/>
  <tableColumns count="1">
    <tableColumn id="1" xr3:uid="{00000000-0010-0000-0200-000001000000}" name="london_plan_run"/>
  </tableColumns>
  <tableStyleInfo name="TableStyleLight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SAP_heating_group" displayName="SAP_heating_group" ref="G1:G6" totalsRowShown="0" headerRowDxfId="19" dataDxfId="18">
  <autoFilter ref="G1:G6" xr:uid="{00000000-0009-0000-0100-000003000000}"/>
  <tableColumns count="1">
    <tableColumn id="1" xr3:uid="{00000000-0010-0000-0300-000001000000}" name="SAP_heating_group" dataDxfId="17"/>
  </tableColumns>
  <tableStyleInfo name="TableStyleLight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SAP_heating_type" displayName="SAP_heating_type" ref="I1:I7" totalsRowShown="0" headerRowDxfId="16" dataDxfId="14" headerRowBorderDxfId="15">
  <autoFilter ref="I1:I7" xr:uid="{00000000-0009-0000-0100-000005000000}"/>
  <tableColumns count="1">
    <tableColumn id="1" xr3:uid="{00000000-0010-0000-0400-000001000000}" name="SAP_heating_type" dataDxfId="13"/>
  </tableColumns>
  <tableStyleInfo name="TableStyleLight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SAP_heating_fuel" displayName="SAP_heating_fuel" ref="K1:K5" totalsRowShown="0" headerRowDxfId="12" dataDxfId="10" headerRowBorderDxfId="11">
  <autoFilter ref="K1:K5" xr:uid="{00000000-0009-0000-0100-000006000000}"/>
  <tableColumns count="1">
    <tableColumn id="1" xr3:uid="{00000000-0010-0000-0500-000001000000}" name="SAP_heating_fuel" dataDxfId="9"/>
  </tableColumns>
  <tableStyleInfo name="TableStyleLight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pumpType" displayName="pumpType" ref="M1:M5" totalsRowShown="0" headerRowDxfId="8">
  <autoFilter ref="M1:M5" xr:uid="{00000000-0009-0000-0100-000007000000}"/>
  <tableColumns count="1">
    <tableColumn id="1" xr3:uid="{00000000-0010-0000-0600-000001000000}" name="Pump type"/>
  </tableColumns>
  <tableStyleInfo name="TableStyleLight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54096DE-475F-4A38-9990-01BB34D2F1DC}" name="gla_london_plan" displayName="gla_london_plan" ref="E1:E5" totalsRowShown="0" headerRowDxfId="7">
  <autoFilter ref="E1:E5" xr:uid="{71E29BC9-C918-4278-90DC-11D31DA4DA5E}"/>
  <tableColumns count="1">
    <tableColumn id="1" xr3:uid="{66E109AB-3F4C-4049-A4DD-FCEF86C96B64}" name="gla_london_plan"/>
  </tableColumns>
  <tableStyleInfo name="TableStyleLight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A252E8D-E4AC-4B41-8410-359AFFB8BEA2}" name="Table1" displayName="Table1" ref="A1:C4" totalsRowShown="0">
  <autoFilter ref="A1:C4" xr:uid="{70BDA276-F4D1-4333-B45B-F0FA7750387E}"/>
  <tableColumns count="3">
    <tableColumn id="1" xr3:uid="{0A36005B-0AEB-429F-B5AF-3BEB5F6915F0}" name="Issue"/>
    <tableColumn id="2" xr3:uid="{6B12FDFD-BA6C-40DE-9867-24F364F174C3}" name="Date" dataDxfId="6"/>
    <tableColumn id="3" xr3:uid="{F4FFD5E9-F643-4E23-8B98-828EA6419B79}" name="Description"/>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48E2DD8-AE1F-4F43-A7BB-CC4ACBED8A30}" name="Table9" displayName="Table9" ref="A1:B5" totalsRowShown="0" headerRowDxfId="5">
  <autoFilter ref="A1:B5" xr:uid="{20D037EB-DEA0-4F0A-BE9A-B14F55AFBA2E}"/>
  <tableColumns count="2">
    <tableColumn id="1" xr3:uid="{9EFB48CC-E2DF-4D4E-A9BB-FB322633EA66}" name="Engineer"/>
    <tableColumn id="2" xr3:uid="{6D7C97BC-C1C8-40BF-9455-3920BAEDF786}" name="Role"/>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table" Target="../tables/table2.xml"/><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BT55"/>
  <sheetViews>
    <sheetView showGridLines="0" tabSelected="1" zoomScale="55" zoomScaleNormal="55" workbookViewId="0">
      <pane xSplit="8" ySplit="35" topLeftCell="K42" activePane="bottomRight" state="frozen"/>
      <selection pane="topRight" activeCell="I1" sqref="I1"/>
      <selection pane="bottomLeft" activeCell="A23" sqref="A23"/>
      <selection pane="bottomRight" activeCell="N55" sqref="N55"/>
    </sheetView>
  </sheetViews>
  <sheetFormatPr defaultRowHeight="23.15" outlineLevelRow="1" outlineLevelCol="2" x14ac:dyDescent="0.6"/>
  <cols>
    <col min="1" max="3" width="2.69140625" customWidth="1"/>
    <col min="4" max="5" width="2.15234375" customWidth="1"/>
    <col min="6" max="6" width="2.15234375" style="54" customWidth="1"/>
    <col min="7" max="7" width="8.84375" style="158" customWidth="1"/>
    <col min="8" max="8" width="59.53515625" style="17" customWidth="1"/>
    <col min="9" max="9" width="71" style="22" customWidth="1"/>
    <col min="10" max="10" width="13.3046875" style="22" customWidth="1"/>
    <col min="11" max="12" width="7.3046875" style="22" customWidth="1"/>
    <col min="13" max="13" width="12.69140625" style="22" customWidth="1"/>
    <col min="14" max="14" width="12.84375" style="22" customWidth="1"/>
    <col min="15" max="15" width="4.53515625" style="191" customWidth="1"/>
    <col min="16" max="17" width="7.3046875" customWidth="1"/>
    <col min="18" max="18" width="5.3046875" style="56" customWidth="1" outlineLevel="1"/>
    <col min="19" max="20" width="9.15234375" customWidth="1" outlineLevel="2"/>
    <col min="21" max="21" width="14.3046875" customWidth="1" outlineLevel="2"/>
    <col min="22" max="22" width="19.3046875" customWidth="1" outlineLevel="2"/>
    <col min="23" max="23" width="5.3046875" style="24" customWidth="1" outlineLevel="1"/>
    <col min="24" max="26" width="9.15234375" hidden="1" customWidth="1" outlineLevel="2"/>
    <col min="27" max="27" width="4.69140625" style="32" customWidth="1" outlineLevel="1" collapsed="1"/>
    <col min="28" max="28" width="11.69140625" hidden="1" customWidth="1" outlineLevel="2"/>
    <col min="29" max="30" width="9.15234375" hidden="1" customWidth="1" outlineLevel="2"/>
    <col min="31" max="31" width="4.53515625" style="30" customWidth="1" outlineLevel="1" collapsed="1"/>
    <col min="32" max="32" width="9.15234375" hidden="1" customWidth="1" outlineLevel="2"/>
    <col min="33" max="33" width="34" hidden="1" customWidth="1" outlineLevel="2"/>
    <col min="34" max="34" width="9.15234375" hidden="1" customWidth="1" outlineLevel="2"/>
    <col min="35" max="35" width="4.15234375" style="27" customWidth="1" outlineLevel="1" collapsed="1"/>
    <col min="36" max="37" width="42.69140625" hidden="1" customWidth="1" outlineLevel="2"/>
    <col min="38" max="38" width="4.3046875" style="19" customWidth="1" outlineLevel="1" collapsed="1"/>
    <col min="39" max="40" width="20.3046875" hidden="1" customWidth="1" outlineLevel="2"/>
    <col min="41" max="43" width="8.84375" hidden="1" customWidth="1" outlineLevel="2"/>
    <col min="44" max="44" width="5.3046875" style="112" customWidth="1" outlineLevel="1" collapsed="1"/>
    <col min="45" max="45" width="28" hidden="1" customWidth="1" outlineLevel="2"/>
    <col min="46" max="47" width="13.84375" hidden="1" customWidth="1" outlineLevel="2"/>
    <col min="48" max="48" width="5" style="34" customWidth="1" outlineLevel="1" collapsed="1"/>
    <col min="49" max="49" width="67.53515625" hidden="1" customWidth="1" outlineLevel="2"/>
    <col min="50" max="55" width="15.3828125" hidden="1" customWidth="1" outlineLevel="2"/>
    <col min="56" max="56" width="4.53515625" style="120" customWidth="1" outlineLevel="1" collapsed="1"/>
    <col min="57" max="57" width="57.15234375" hidden="1" customWidth="1" outlineLevel="2"/>
    <col min="58" max="62" width="7" hidden="1" customWidth="1" outlineLevel="2"/>
    <col min="63" max="63" width="5.69140625" style="101" customWidth="1" outlineLevel="1" collapsed="1"/>
    <col min="64" max="64" width="13.69140625" hidden="1" customWidth="1" outlineLevel="2"/>
    <col min="65" max="65" width="8.69140625" hidden="1" customWidth="1" outlineLevel="2"/>
    <col min="66" max="66" width="5.84375" style="123" customWidth="1" outlineLevel="1" collapsed="1"/>
    <col min="67" max="70" width="8.69140625" customWidth="1" outlineLevel="2"/>
    <col min="71" max="71" width="5.53515625" style="132" customWidth="1" outlineLevel="1"/>
    <col min="72" max="72" width="13.69140625" customWidth="1" outlineLevel="1"/>
  </cols>
  <sheetData>
    <row r="1" spans="5:71" s="97" customFormat="1" ht="18.75" customHeight="1" x14ac:dyDescent="0.5">
      <c r="E1" s="98"/>
      <c r="F1" s="98"/>
      <c r="G1" s="152" t="s">
        <v>213</v>
      </c>
      <c r="H1" s="99"/>
      <c r="BN1" s="121"/>
      <c r="BS1" s="130"/>
    </row>
    <row r="2" spans="5:71" s="17" customFormat="1" ht="24.75" hidden="1" customHeight="1" outlineLevel="1" x14ac:dyDescent="0.6">
      <c r="G2" s="153" t="s">
        <v>66</v>
      </c>
      <c r="H2" s="90" t="s">
        <v>16</v>
      </c>
      <c r="I2" s="91">
        <v>6350</v>
      </c>
      <c r="O2" s="191"/>
      <c r="R2" s="59"/>
      <c r="W2" s="60"/>
      <c r="AA2" s="61"/>
      <c r="AE2" s="62"/>
      <c r="AI2" s="63"/>
      <c r="AL2" s="64"/>
      <c r="AR2" s="106"/>
      <c r="AV2" s="65"/>
      <c r="BD2" s="113"/>
      <c r="BK2" s="100"/>
      <c r="BN2" s="122"/>
      <c r="BS2" s="131"/>
    </row>
    <row r="3" spans="5:71" s="17" customFormat="1" ht="24.75" hidden="1" customHeight="1" outlineLevel="1" x14ac:dyDescent="0.6">
      <c r="G3" s="154" t="s">
        <v>66</v>
      </c>
      <c r="H3" s="92" t="s">
        <v>17</v>
      </c>
      <c r="I3" s="93" t="s">
        <v>211</v>
      </c>
      <c r="O3" s="191"/>
      <c r="R3" s="59"/>
      <c r="W3" s="60"/>
      <c r="AA3" s="61"/>
      <c r="AE3" s="62"/>
      <c r="AI3" s="63"/>
      <c r="AL3" s="64"/>
      <c r="AR3" s="106"/>
      <c r="AV3" s="65"/>
      <c r="BD3" s="113"/>
      <c r="BK3" s="100"/>
      <c r="BN3" s="122"/>
      <c r="BS3" s="131"/>
    </row>
    <row r="4" spans="5:71" s="17" customFormat="1" ht="24.75" hidden="1" customHeight="1" outlineLevel="1" x14ac:dyDescent="0.6">
      <c r="G4" s="154" t="s">
        <v>66</v>
      </c>
      <c r="H4" s="92" t="s">
        <v>72</v>
      </c>
      <c r="I4" s="93" t="s">
        <v>212</v>
      </c>
      <c r="O4" s="191"/>
      <c r="R4" s="59"/>
      <c r="W4" s="60"/>
      <c r="AA4" s="61"/>
      <c r="AE4" s="62"/>
      <c r="AI4" s="63"/>
      <c r="AL4" s="64"/>
      <c r="AR4" s="106"/>
      <c r="AV4" s="65"/>
      <c r="BD4" s="113"/>
      <c r="BK4" s="100"/>
      <c r="BN4" s="122"/>
      <c r="BS4" s="131"/>
    </row>
    <row r="5" spans="5:71" s="17" customFormat="1" ht="24.75" hidden="1" customHeight="1" outlineLevel="1" x14ac:dyDescent="0.6">
      <c r="G5" s="154" t="s">
        <v>66</v>
      </c>
      <c r="H5" s="92" t="s">
        <v>80</v>
      </c>
      <c r="I5" s="94" t="str">
        <f ca="1">HYPERLINK((LEFT(CELL("filename",I5),FIND("[",CELL("filename",I5))-1)))</f>
        <v>C:\engDev\git_mf\MF_Toolbox\dev\examples\lplan_partL\J6025_PartL_Compliance\</v>
      </c>
      <c r="O5" s="191"/>
      <c r="R5" s="59"/>
      <c r="W5" s="60"/>
      <c r="AA5" s="61"/>
      <c r="AE5" s="62"/>
      <c r="AI5" s="63"/>
      <c r="AL5" s="64"/>
      <c r="AR5" s="106"/>
      <c r="AV5" s="65"/>
      <c r="BD5" s="113"/>
      <c r="BK5" s="100"/>
      <c r="BN5" s="122"/>
      <c r="BS5" s="131"/>
    </row>
    <row r="6" spans="5:71" s="17" customFormat="1" ht="24.75" hidden="1" customHeight="1" outlineLevel="1" x14ac:dyDescent="0.6">
      <c r="G6" s="154" t="s">
        <v>66</v>
      </c>
      <c r="H6" s="92" t="s">
        <v>73</v>
      </c>
      <c r="I6" s="94" t="str">
        <f ca="1">HYPERLINK(CONCATENATE(I$5,H6))</f>
        <v>C:\engDev\git_mf\MF_Toolbox\dev\examples\lplan_partL\J6025_PartL_Compliance\00_Reference</v>
      </c>
      <c r="O6" s="191"/>
      <c r="R6" s="59"/>
      <c r="W6" s="60"/>
      <c r="AA6" s="61"/>
      <c r="AE6" s="62"/>
      <c r="AI6" s="63"/>
      <c r="AL6" s="64"/>
      <c r="AR6" s="106"/>
      <c r="AV6" s="65"/>
      <c r="BD6" s="113"/>
      <c r="BK6" s="100"/>
      <c r="BN6" s="122"/>
      <c r="BS6" s="131"/>
    </row>
    <row r="7" spans="5:71" s="17" customFormat="1" ht="24.75" hidden="1" customHeight="1" outlineLevel="1" x14ac:dyDescent="0.6">
      <c r="G7" s="154" t="s">
        <v>66</v>
      </c>
      <c r="H7" s="95" t="s">
        <v>79</v>
      </c>
      <c r="I7" s="94" t="str">
        <f t="shared" ref="I7:I15" ca="1" si="0">HYPERLINK(CONCATENATE(I$5,H7))</f>
        <v>C:\engDev\git_mf\MF_Toolbox\dev\examples\lplan_partL\J6025_PartL_Compliance\01_IncomingInfo</v>
      </c>
      <c r="O7" s="191"/>
      <c r="R7" s="59"/>
      <c r="W7" s="60"/>
      <c r="AA7" s="61"/>
      <c r="AE7" s="62"/>
      <c r="AI7" s="63"/>
      <c r="AL7" s="64"/>
      <c r="AR7" s="106"/>
      <c r="AV7" s="65"/>
      <c r="BD7" s="113"/>
      <c r="BK7" s="100"/>
      <c r="BN7" s="122"/>
      <c r="BS7" s="131"/>
    </row>
    <row r="8" spans="5:71" s="17" customFormat="1" ht="24.75" hidden="1" customHeight="1" outlineLevel="1" x14ac:dyDescent="0.6">
      <c r="G8" s="154" t="s">
        <v>66</v>
      </c>
      <c r="H8" s="92" t="s">
        <v>133</v>
      </c>
      <c r="I8" s="94" t="str">
        <f ca="1">HYPERLINK(CONCATENATE(I$5,H8))</f>
        <v>C:\engDev\git_mf\MF_Toolbox\dev\examples\lplan_partL\J6025_PartL_Compliance\02_InputData</v>
      </c>
      <c r="O8" s="191"/>
      <c r="R8" s="59"/>
      <c r="W8" s="60"/>
      <c r="AA8" s="61"/>
      <c r="AE8" s="62"/>
      <c r="AI8" s="63"/>
      <c r="AL8" s="64"/>
      <c r="AR8" s="106"/>
      <c r="AV8" s="65"/>
      <c r="BD8" s="113"/>
      <c r="BK8" s="100"/>
      <c r="BN8" s="122"/>
      <c r="BS8" s="131"/>
    </row>
    <row r="9" spans="5:71" s="17" customFormat="1" ht="24.75" hidden="1" customHeight="1" outlineLevel="1" x14ac:dyDescent="0.6">
      <c r="G9" s="154" t="s">
        <v>66</v>
      </c>
      <c r="H9" s="92" t="s">
        <v>134</v>
      </c>
      <c r="I9" s="94" t="str">
        <f t="shared" ca="1" si="0"/>
        <v>C:\engDev\git_mf\MF_Toolbox\dev\examples\lplan_partL\J6025_PartL_Compliance\03_CAD</v>
      </c>
      <c r="O9" s="191"/>
      <c r="R9" s="59"/>
      <c r="W9" s="60"/>
      <c r="AA9" s="61"/>
      <c r="AE9" s="62"/>
      <c r="AI9" s="63"/>
      <c r="AL9" s="64"/>
      <c r="AR9" s="106"/>
      <c r="AV9" s="65"/>
      <c r="BD9" s="113"/>
      <c r="BK9" s="100"/>
      <c r="BN9" s="122"/>
      <c r="BS9" s="131"/>
    </row>
    <row r="10" spans="5:71" s="17" customFormat="1" ht="24.75" hidden="1" customHeight="1" outlineLevel="1" x14ac:dyDescent="0.6">
      <c r="G10" s="154" t="s">
        <v>66</v>
      </c>
      <c r="H10" s="92" t="s">
        <v>135</v>
      </c>
      <c r="I10" s="94" t="str">
        <f t="shared" ca="1" si="0"/>
        <v>C:\engDev\git_mf\MF_Toolbox\dev\examples\lplan_partL\J6025_PartL_Compliance\04_Calcs</v>
      </c>
      <c r="O10" s="191"/>
      <c r="R10" s="59"/>
      <c r="W10" s="60"/>
      <c r="AA10" s="61"/>
      <c r="AE10" s="62"/>
      <c r="AI10" s="63"/>
      <c r="AL10" s="64"/>
      <c r="AR10" s="106"/>
      <c r="AV10" s="65"/>
      <c r="BD10" s="113"/>
      <c r="BK10" s="100"/>
      <c r="BN10" s="122"/>
      <c r="BS10" s="131"/>
    </row>
    <row r="11" spans="5:71" s="17" customFormat="1" ht="24.75" hidden="1" customHeight="1" outlineLevel="1" x14ac:dyDescent="0.6">
      <c r="G11" s="154" t="s">
        <v>66</v>
      </c>
      <c r="H11" s="92" t="s">
        <v>74</v>
      </c>
      <c r="I11" s="94" t="str">
        <f t="shared" ca="1" si="0"/>
        <v>C:\engDev\git_mf\MF_Toolbox\dev\examples\lplan_partL\J6025_PartL_Compliance\05_ModelFiles</v>
      </c>
      <c r="O11" s="191"/>
      <c r="R11" s="59"/>
      <c r="W11" s="60"/>
      <c r="AA11" s="61"/>
      <c r="AE11" s="62"/>
      <c r="AI11" s="63"/>
      <c r="AL11" s="64"/>
      <c r="AR11" s="106"/>
      <c r="AV11" s="65"/>
      <c r="BD11" s="113"/>
      <c r="BK11" s="100"/>
      <c r="BN11" s="122"/>
      <c r="BS11" s="131"/>
    </row>
    <row r="12" spans="5:71" s="17" customFormat="1" ht="24.75" hidden="1" customHeight="1" outlineLevel="1" x14ac:dyDescent="0.6">
      <c r="G12" s="154" t="s">
        <v>66</v>
      </c>
      <c r="H12" s="92" t="s">
        <v>75</v>
      </c>
      <c r="I12" s="94" t="str">
        <f t="shared" ca="1" si="0"/>
        <v>C:\engDev\git_mf\MF_Toolbox\dev\examples\lplan_partL\J6025_PartL_Compliance\06a_Outputs_ModelData</v>
      </c>
      <c r="O12" s="191"/>
      <c r="R12" s="59"/>
      <c r="W12" s="60"/>
      <c r="AA12" s="61"/>
      <c r="AE12" s="62"/>
      <c r="AI12" s="63"/>
      <c r="AL12" s="64"/>
      <c r="AR12" s="106"/>
      <c r="AV12" s="65"/>
      <c r="BD12" s="113"/>
      <c r="BK12" s="100"/>
      <c r="BN12" s="122"/>
      <c r="BS12" s="131"/>
    </row>
    <row r="13" spans="5:71" s="17" customFormat="1" ht="24.75" hidden="1" customHeight="1" outlineLevel="1" x14ac:dyDescent="0.6">
      <c r="G13" s="154" t="s">
        <v>66</v>
      </c>
      <c r="H13" s="92" t="s">
        <v>76</v>
      </c>
      <c r="I13" s="94" t="str">
        <f t="shared" ca="1" si="0"/>
        <v>C:\engDev\git_mf\MF_Toolbox\dev\examples\lplan_partL\J6025_PartL_Compliance\06b_Outputs_ProcessedData</v>
      </c>
      <c r="O13" s="191"/>
      <c r="R13" s="59"/>
      <c r="W13" s="60"/>
      <c r="AA13" s="61"/>
      <c r="AE13" s="62"/>
      <c r="AI13" s="63"/>
      <c r="AL13" s="64"/>
      <c r="AR13" s="106"/>
      <c r="AV13" s="65"/>
      <c r="BD13" s="113"/>
      <c r="BK13" s="100"/>
      <c r="BN13" s="122"/>
      <c r="BS13" s="131"/>
    </row>
    <row r="14" spans="5:71" s="17" customFormat="1" ht="24.75" hidden="1" customHeight="1" outlineLevel="1" x14ac:dyDescent="0.6">
      <c r="G14" s="154" t="s">
        <v>66</v>
      </c>
      <c r="H14" s="92" t="s">
        <v>77</v>
      </c>
      <c r="I14" s="94" t="str">
        <f t="shared" ca="1" si="0"/>
        <v>C:\engDev\git_mf\MF_Toolbox\dev\examples\lplan_partL\J6025_PartL_Compliance\06c_Outputs_Img</v>
      </c>
      <c r="O14" s="191"/>
      <c r="R14" s="59"/>
      <c r="W14" s="60"/>
      <c r="AA14" s="61"/>
      <c r="AE14" s="62"/>
      <c r="AI14" s="63"/>
      <c r="AJ14" s="20"/>
      <c r="AK14" s="20"/>
      <c r="AL14" s="68"/>
      <c r="AM14" s="20"/>
      <c r="AN14" s="20"/>
      <c r="AR14" s="107"/>
      <c r="AS14" s="20"/>
      <c r="AT14" s="20"/>
      <c r="AU14" s="20"/>
      <c r="AV14" s="69"/>
      <c r="AW14" s="20"/>
      <c r="AX14" s="20"/>
      <c r="AY14" s="20"/>
      <c r="AZ14" s="20"/>
      <c r="BA14" s="20"/>
      <c r="BB14" s="20"/>
      <c r="BC14" s="20"/>
      <c r="BD14" s="114"/>
      <c r="BK14" s="100"/>
      <c r="BN14" s="122"/>
      <c r="BS14" s="131"/>
    </row>
    <row r="15" spans="5:71" s="17" customFormat="1" ht="24.75" hidden="1" customHeight="1" outlineLevel="1" x14ac:dyDescent="0.6">
      <c r="G15" s="155" t="s">
        <v>66</v>
      </c>
      <c r="H15" s="96" t="s">
        <v>78</v>
      </c>
      <c r="I15" s="94" t="str">
        <f t="shared" ca="1" si="0"/>
        <v>C:\engDev\git_mf\MF_Toolbox\dev\examples\lplan_partL\J6025_PartL_Compliance\06d_Outputs_Reports</v>
      </c>
      <c r="O15" s="191"/>
      <c r="R15" s="59"/>
      <c r="W15" s="60"/>
      <c r="AA15" s="61"/>
      <c r="AB15" s="20"/>
      <c r="AC15" s="20"/>
      <c r="AD15" s="20"/>
      <c r="AE15" s="73"/>
      <c r="AF15" s="20"/>
      <c r="AG15" s="20"/>
      <c r="AH15" s="20"/>
      <c r="AI15" s="74"/>
      <c r="AJ15" s="20"/>
      <c r="AK15" s="20"/>
      <c r="AL15" s="68"/>
      <c r="AM15" s="20"/>
      <c r="AN15" s="20"/>
      <c r="AR15" s="107"/>
      <c r="AS15" s="20"/>
      <c r="AT15" s="20"/>
      <c r="AU15" s="20"/>
      <c r="AV15" s="69"/>
      <c r="AW15" s="20"/>
      <c r="AX15" s="20"/>
      <c r="AY15" s="20"/>
      <c r="AZ15" s="20"/>
      <c r="BA15" s="20"/>
      <c r="BB15" s="20"/>
      <c r="BC15" s="20"/>
      <c r="BD15" s="114"/>
      <c r="BK15" s="100"/>
      <c r="BN15" s="122"/>
      <c r="BS15" s="131"/>
    </row>
    <row r="16" spans="5:71" s="17" customFormat="1" ht="13.5" customHeight="1" collapsed="1" x14ac:dyDescent="0.6">
      <c r="G16" s="20"/>
      <c r="O16" s="191"/>
      <c r="R16" s="66"/>
      <c r="W16" s="60"/>
      <c r="AA16" s="61"/>
      <c r="AB16" s="20"/>
      <c r="AC16" s="20"/>
      <c r="AD16" s="20"/>
      <c r="AE16" s="73"/>
      <c r="AF16" s="20"/>
      <c r="AG16" s="20"/>
      <c r="AH16" s="20"/>
      <c r="AI16" s="74"/>
      <c r="AJ16" s="20"/>
      <c r="AK16" s="20"/>
      <c r="AL16" s="68"/>
      <c r="AM16" s="20"/>
      <c r="AN16" s="20"/>
      <c r="AR16" s="107"/>
      <c r="AS16" s="20"/>
      <c r="AT16" s="20"/>
      <c r="AU16" s="20"/>
      <c r="AV16" s="69"/>
      <c r="AW16" s="20"/>
      <c r="AX16" s="20"/>
      <c r="AY16" s="20"/>
      <c r="AZ16" s="20"/>
      <c r="BA16" s="20"/>
      <c r="BB16" s="20"/>
      <c r="BC16" s="20"/>
      <c r="BD16" s="114"/>
      <c r="BK16" s="100"/>
      <c r="BN16" s="122"/>
      <c r="BS16" s="131"/>
    </row>
    <row r="17" spans="1:71" s="97" customFormat="1" ht="15.75" customHeight="1" x14ac:dyDescent="0.5">
      <c r="E17" s="98"/>
      <c r="F17" s="98"/>
      <c r="G17" s="152" t="s">
        <v>214</v>
      </c>
      <c r="H17" s="99"/>
      <c r="BN17" s="121"/>
      <c r="BS17" s="130"/>
    </row>
    <row r="18" spans="1:71" s="17" customFormat="1" ht="24.75" hidden="1" customHeight="1" outlineLevel="1" x14ac:dyDescent="0.6">
      <c r="G18" s="20"/>
      <c r="O18" s="191" t="s">
        <v>222</v>
      </c>
      <c r="R18" s="66"/>
      <c r="W18" s="60"/>
      <c r="AA18" s="61"/>
      <c r="AB18" s="20"/>
      <c r="AC18" s="20"/>
      <c r="AD18" s="20"/>
      <c r="AE18" s="73"/>
      <c r="AF18" s="20"/>
      <c r="AG18" s="20"/>
      <c r="AH18" s="20"/>
      <c r="AI18" s="74"/>
      <c r="AJ18" s="20"/>
      <c r="AK18" s="20"/>
      <c r="AL18" s="68"/>
      <c r="AM18" s="20"/>
      <c r="AN18" s="20"/>
      <c r="AR18" s="107"/>
      <c r="AS18" s="20"/>
      <c r="AT18" s="20"/>
      <c r="AU18" s="20"/>
      <c r="AV18" s="69"/>
      <c r="AW18" s="20"/>
      <c r="AX18" s="20"/>
      <c r="AY18" s="20"/>
      <c r="AZ18" s="20"/>
      <c r="BA18" s="20"/>
      <c r="BB18" s="20"/>
      <c r="BC18" s="20"/>
      <c r="BD18" s="114"/>
      <c r="BK18" s="100"/>
      <c r="BN18" s="122"/>
      <c r="BS18" s="131"/>
    </row>
    <row r="19" spans="1:71" s="17" customFormat="1" ht="24.75" hidden="1" customHeight="1" outlineLevel="1" thickTop="1" x14ac:dyDescent="0.6">
      <c r="G19" s="20"/>
      <c r="O19" s="191"/>
      <c r="R19" s="66" t="s">
        <v>51</v>
      </c>
      <c r="W19" s="60"/>
      <c r="AA19" s="61"/>
      <c r="AB19" s="20"/>
      <c r="AC19" s="20"/>
      <c r="AD19" s="20"/>
      <c r="AE19" s="73"/>
      <c r="AF19" s="20"/>
      <c r="AG19" s="20"/>
      <c r="AH19" s="20"/>
      <c r="AI19" s="74"/>
      <c r="AJ19" s="20"/>
      <c r="AK19" s="20"/>
      <c r="AL19" s="68"/>
      <c r="AM19" s="20"/>
      <c r="AN19" s="20"/>
      <c r="AR19" s="107"/>
      <c r="AS19" s="20"/>
      <c r="AT19" s="20"/>
      <c r="AU19" s="20"/>
      <c r="AV19" s="69"/>
      <c r="AW19" s="20"/>
      <c r="AX19" s="20"/>
      <c r="AY19" s="20"/>
      <c r="AZ19" s="20"/>
      <c r="BA19" s="20"/>
      <c r="BB19" s="20"/>
      <c r="BC19" s="20"/>
      <c r="BD19" s="114"/>
      <c r="BK19" s="100"/>
      <c r="BN19" s="122"/>
      <c r="BS19" s="131"/>
    </row>
    <row r="20" spans="1:71" s="17" customFormat="1" ht="24.75" hidden="1" customHeight="1" outlineLevel="1" thickBot="1" x14ac:dyDescent="0.65">
      <c r="G20" s="20"/>
      <c r="O20" s="191"/>
      <c r="R20" s="59"/>
      <c r="W20" s="67" t="s">
        <v>50</v>
      </c>
      <c r="AA20" s="61"/>
      <c r="AB20" s="20"/>
      <c r="AC20" s="20"/>
      <c r="AD20" s="20"/>
      <c r="AE20" s="73"/>
      <c r="AF20" s="20"/>
      <c r="AG20" s="20"/>
      <c r="AH20" s="20"/>
      <c r="AI20" s="74"/>
      <c r="AJ20" s="20"/>
      <c r="AK20" s="20"/>
      <c r="AL20" s="68"/>
      <c r="AM20" s="20"/>
      <c r="AN20" s="20"/>
      <c r="AR20" s="107"/>
      <c r="AS20" s="20"/>
      <c r="AT20" s="20"/>
      <c r="AU20" s="20"/>
      <c r="AV20" s="69"/>
      <c r="AW20" s="20"/>
      <c r="AX20" s="20"/>
      <c r="AY20" s="20"/>
      <c r="AZ20" s="20"/>
      <c r="BA20" s="20"/>
      <c r="BB20" s="20"/>
      <c r="BC20" s="20"/>
      <c r="BD20" s="114"/>
      <c r="BK20" s="100"/>
      <c r="BN20" s="122"/>
      <c r="BS20" s="131"/>
    </row>
    <row r="21" spans="1:71" s="17" customFormat="1" ht="24.75" hidden="1" customHeight="1" outlineLevel="1" thickBot="1" x14ac:dyDescent="0.65">
      <c r="G21" s="20"/>
      <c r="O21" s="191"/>
      <c r="R21" s="70"/>
      <c r="S21" s="20"/>
      <c r="T21" s="20"/>
      <c r="U21" s="20"/>
      <c r="V21" s="20"/>
      <c r="W21" s="71"/>
      <c r="X21" s="20"/>
      <c r="Y21" s="20"/>
      <c r="Z21" s="20"/>
      <c r="AA21" s="72" t="s">
        <v>53</v>
      </c>
      <c r="AB21" s="20"/>
      <c r="AC21" s="20"/>
      <c r="AD21" s="20"/>
      <c r="AE21" s="73"/>
      <c r="AF21" s="20"/>
      <c r="AG21" s="20"/>
      <c r="AH21" s="20"/>
      <c r="AI21" s="74"/>
      <c r="AJ21" s="20"/>
      <c r="AK21" s="20"/>
      <c r="AL21" s="68"/>
      <c r="AM21" s="20"/>
      <c r="AN21" s="20"/>
      <c r="AR21" s="107"/>
      <c r="AS21" s="20"/>
      <c r="AT21" s="20"/>
      <c r="AU21" s="20"/>
      <c r="AV21" s="69"/>
      <c r="AW21" s="20"/>
      <c r="AX21" s="20"/>
      <c r="AY21" s="20"/>
      <c r="AZ21" s="20"/>
      <c r="BA21" s="20"/>
      <c r="BB21" s="20"/>
      <c r="BC21" s="20"/>
      <c r="BD21" s="114"/>
      <c r="BK21" s="100"/>
      <c r="BN21" s="122"/>
      <c r="BS21" s="131"/>
    </row>
    <row r="22" spans="1:71" s="17" customFormat="1" ht="24.75" hidden="1" customHeight="1" outlineLevel="1" thickBot="1" x14ac:dyDescent="0.65">
      <c r="G22" s="20"/>
      <c r="O22" s="191"/>
      <c r="R22" s="70"/>
      <c r="S22" s="20"/>
      <c r="T22" s="20"/>
      <c r="U22" s="20"/>
      <c r="V22" s="20"/>
      <c r="W22" s="71"/>
      <c r="X22" s="20"/>
      <c r="Y22" s="20"/>
      <c r="Z22" s="20"/>
      <c r="AA22" s="72"/>
      <c r="AB22" s="20"/>
      <c r="AC22" s="20"/>
      <c r="AD22" s="20"/>
      <c r="AE22" s="75" t="s">
        <v>54</v>
      </c>
      <c r="AF22" s="20"/>
      <c r="AG22" s="20"/>
      <c r="AH22" s="20"/>
      <c r="AI22" s="74"/>
      <c r="AJ22" s="20"/>
      <c r="AK22" s="20"/>
      <c r="AL22" s="68"/>
      <c r="AM22" s="20"/>
      <c r="AN22" s="20"/>
      <c r="AR22" s="107"/>
      <c r="AS22" s="20"/>
      <c r="AT22" s="20"/>
      <c r="AU22" s="20"/>
      <c r="AV22" s="69"/>
      <c r="AW22" s="20"/>
      <c r="AX22" s="20"/>
      <c r="AY22" s="20"/>
      <c r="AZ22" s="20"/>
      <c r="BA22" s="20"/>
      <c r="BB22" s="20"/>
      <c r="BC22" s="20"/>
      <c r="BD22" s="114"/>
      <c r="BK22" s="100"/>
      <c r="BN22" s="122"/>
      <c r="BS22" s="131"/>
    </row>
    <row r="23" spans="1:71" s="17" customFormat="1" ht="24" hidden="1" customHeight="1" outlineLevel="1" thickBot="1" x14ac:dyDescent="0.65">
      <c r="G23" s="20"/>
      <c r="O23" s="191"/>
      <c r="R23" s="70"/>
      <c r="S23" s="20"/>
      <c r="T23" s="20"/>
      <c r="U23" s="20"/>
      <c r="V23" s="20"/>
      <c r="W23" s="71"/>
      <c r="X23" s="20"/>
      <c r="Y23" s="20"/>
      <c r="Z23" s="20"/>
      <c r="AA23" s="72"/>
      <c r="AB23" s="20"/>
      <c r="AC23" s="20"/>
      <c r="AD23" s="20"/>
      <c r="AE23" s="73"/>
      <c r="AF23" s="20"/>
      <c r="AG23" s="20"/>
      <c r="AH23" s="20"/>
      <c r="AI23" s="76" t="s">
        <v>56</v>
      </c>
      <c r="AJ23" s="20"/>
      <c r="AK23" s="20"/>
      <c r="AL23" s="68"/>
      <c r="AM23" s="20"/>
      <c r="AN23" s="20"/>
      <c r="AR23" s="107"/>
      <c r="AS23" s="20"/>
      <c r="AT23" s="20"/>
      <c r="AU23" s="20"/>
      <c r="AV23" s="69"/>
      <c r="AW23" s="20"/>
      <c r="AX23" s="20"/>
      <c r="AY23" s="20"/>
      <c r="AZ23" s="20"/>
      <c r="BA23" s="20"/>
      <c r="BB23" s="20"/>
      <c r="BC23" s="20"/>
      <c r="BD23" s="114"/>
      <c r="BK23" s="100"/>
      <c r="BN23" s="122"/>
      <c r="BS23" s="131"/>
    </row>
    <row r="24" spans="1:71" s="17" customFormat="1" hidden="1" outlineLevel="1" x14ac:dyDescent="0.6">
      <c r="G24" s="20"/>
      <c r="O24" s="191"/>
      <c r="R24" s="26"/>
      <c r="S24" s="20"/>
      <c r="T24" s="21"/>
      <c r="U24" s="21"/>
      <c r="V24" s="21"/>
      <c r="W24" s="25"/>
      <c r="X24" s="21"/>
      <c r="Y24" s="21"/>
      <c r="Z24" s="21"/>
      <c r="AA24" s="33"/>
      <c r="AB24" s="21"/>
      <c r="AC24" s="21"/>
      <c r="AD24" s="21"/>
      <c r="AE24" s="31"/>
      <c r="AF24" s="21"/>
      <c r="AG24" s="21"/>
      <c r="AH24" s="21"/>
      <c r="AI24" s="28"/>
      <c r="AJ24" s="21"/>
      <c r="AK24" s="21"/>
      <c r="AL24" s="77" t="s">
        <v>57</v>
      </c>
      <c r="AM24" s="21"/>
      <c r="AN24" s="21"/>
      <c r="AR24" s="108"/>
      <c r="AS24" s="21"/>
      <c r="AT24" s="21"/>
      <c r="AU24" s="21"/>
      <c r="AV24" s="35"/>
      <c r="AW24" s="21"/>
      <c r="AX24" s="21"/>
      <c r="AY24" s="21"/>
      <c r="AZ24" s="21"/>
      <c r="BA24" s="21"/>
      <c r="BB24" s="21"/>
      <c r="BC24" s="21"/>
      <c r="BD24" s="115"/>
      <c r="BK24" s="100"/>
      <c r="BN24" s="122"/>
      <c r="BR24" s="17" t="s">
        <v>123</v>
      </c>
      <c r="BS24" s="131"/>
    </row>
    <row r="25" spans="1:71" s="17" customFormat="1" hidden="1" outlineLevel="1" x14ac:dyDescent="0.6">
      <c r="G25" s="20"/>
      <c r="H25" s="18"/>
      <c r="I25" s="79"/>
      <c r="J25" s="79"/>
      <c r="K25" s="79"/>
      <c r="L25" s="79"/>
      <c r="M25" s="79"/>
      <c r="N25" s="79"/>
      <c r="O25" s="191"/>
      <c r="R25" s="26"/>
      <c r="S25" s="20"/>
      <c r="T25" s="21"/>
      <c r="U25" s="21"/>
      <c r="V25" s="21"/>
      <c r="W25" s="25"/>
      <c r="X25" s="21"/>
      <c r="Y25" s="21"/>
      <c r="Z25" s="21"/>
      <c r="AA25" s="33"/>
      <c r="AB25" s="21"/>
      <c r="AC25" s="21"/>
      <c r="AD25" s="21"/>
      <c r="AE25" s="31"/>
      <c r="AF25" s="21"/>
      <c r="AG25" s="21"/>
      <c r="AH25" s="21"/>
      <c r="AI25" s="28"/>
      <c r="AJ25" s="21"/>
      <c r="AK25" s="21"/>
      <c r="AL25" s="29"/>
      <c r="AM25" s="21"/>
      <c r="AN25" s="21"/>
      <c r="AR25" s="108"/>
      <c r="AS25" s="21"/>
      <c r="AT25" s="21"/>
      <c r="AU25" s="21"/>
      <c r="AV25" s="78" t="s">
        <v>59</v>
      </c>
      <c r="AW25" s="21"/>
      <c r="AX25" s="21"/>
      <c r="AY25" s="21"/>
      <c r="AZ25" s="21"/>
      <c r="BA25" s="21"/>
      <c r="BB25" s="21"/>
      <c r="BC25" s="21"/>
      <c r="BD25" s="115"/>
      <c r="BK25" s="100"/>
      <c r="BN25" s="122"/>
      <c r="BS25" s="131"/>
    </row>
    <row r="26" spans="1:71" hidden="1" outlineLevel="1" x14ac:dyDescent="0.6">
      <c r="F26"/>
      <c r="G26" s="22"/>
      <c r="H26" s="18"/>
      <c r="I26" s="23"/>
      <c r="J26" s="23"/>
      <c r="K26" s="23"/>
      <c r="L26" s="23"/>
      <c r="M26" s="23"/>
      <c r="N26" s="23"/>
      <c r="R26" s="26"/>
      <c r="S26" s="20"/>
      <c r="T26" s="21"/>
      <c r="U26" s="21"/>
      <c r="V26" s="21"/>
      <c r="W26" s="25"/>
      <c r="X26" s="21"/>
      <c r="Y26" s="21"/>
      <c r="Z26" s="21"/>
      <c r="AA26" s="33"/>
      <c r="AB26" s="21"/>
      <c r="AC26" s="21"/>
      <c r="AD26" s="21"/>
      <c r="AE26" s="31"/>
      <c r="AF26" s="21"/>
      <c r="AG26" s="21"/>
      <c r="AH26" s="21"/>
      <c r="AI26" s="28"/>
      <c r="AJ26" s="21"/>
      <c r="AK26" s="21"/>
      <c r="AL26" s="29"/>
      <c r="AM26" s="21"/>
      <c r="AN26" s="21"/>
      <c r="AR26" s="108"/>
      <c r="AS26" s="21"/>
      <c r="AT26" s="21"/>
      <c r="AU26" s="21"/>
      <c r="AV26" s="78"/>
      <c r="AW26" s="21"/>
      <c r="AX26" s="21"/>
      <c r="AY26" s="21"/>
      <c r="AZ26" s="21"/>
      <c r="BA26" s="21"/>
      <c r="BB26" s="21"/>
      <c r="BC26" s="21"/>
      <c r="BD26" s="116" t="s">
        <v>61</v>
      </c>
    </row>
    <row r="27" spans="1:71" hidden="1" outlineLevel="1" x14ac:dyDescent="0.6">
      <c r="F27"/>
      <c r="G27" s="22"/>
      <c r="H27" s="18"/>
      <c r="I27" s="23"/>
      <c r="J27" s="23"/>
      <c r="K27" s="23"/>
      <c r="L27" s="23"/>
      <c r="M27" s="23"/>
      <c r="N27" s="23"/>
      <c r="R27" s="26"/>
      <c r="S27" s="20"/>
      <c r="T27" s="21"/>
      <c r="U27" s="21"/>
      <c r="V27" s="21"/>
      <c r="W27" s="25"/>
      <c r="X27" s="21"/>
      <c r="Y27" s="21"/>
      <c r="Z27" s="21"/>
      <c r="AA27" s="33"/>
      <c r="AB27" s="21"/>
      <c r="AC27" s="21"/>
      <c r="AD27" s="21"/>
      <c r="AE27" s="31"/>
      <c r="AF27" s="21"/>
      <c r="AG27" s="21"/>
      <c r="AH27" s="21"/>
      <c r="AI27" s="28"/>
      <c r="AJ27" s="21"/>
      <c r="AK27" s="21"/>
      <c r="AL27" s="29"/>
      <c r="AM27" s="21"/>
      <c r="AN27" s="21"/>
      <c r="AR27" s="108"/>
      <c r="AS27" s="21"/>
      <c r="AT27" s="21"/>
      <c r="AU27" s="21"/>
      <c r="AV27" s="78"/>
      <c r="AW27" s="21"/>
      <c r="AX27" s="21"/>
      <c r="AY27" s="21"/>
      <c r="AZ27" s="21"/>
      <c r="BA27" s="21"/>
      <c r="BB27" s="21"/>
      <c r="BC27" s="21"/>
      <c r="BD27" s="116"/>
      <c r="BK27" s="126" t="s">
        <v>109</v>
      </c>
    </row>
    <row r="28" spans="1:71" hidden="1" outlineLevel="1" x14ac:dyDescent="0.6">
      <c r="F28"/>
      <c r="G28" s="22"/>
      <c r="H28" s="18"/>
      <c r="I28" s="23"/>
      <c r="J28" s="23"/>
      <c r="K28" s="23"/>
      <c r="L28" s="23"/>
      <c r="M28" s="23"/>
      <c r="N28" s="23"/>
      <c r="R28" s="26"/>
      <c r="S28" s="20"/>
      <c r="T28" s="21"/>
      <c r="U28" s="21"/>
      <c r="V28" s="21"/>
      <c r="W28" s="25"/>
      <c r="X28" s="21"/>
      <c r="Y28" s="21"/>
      <c r="Z28" s="21"/>
      <c r="AA28" s="33"/>
      <c r="AB28" s="21"/>
      <c r="AC28" s="21"/>
      <c r="AD28" s="21"/>
      <c r="AE28" s="31"/>
      <c r="AF28" s="21"/>
      <c r="AG28" s="21"/>
      <c r="AH28" s="21"/>
      <c r="AI28" s="28"/>
      <c r="AJ28" s="21"/>
      <c r="AK28" s="21"/>
      <c r="AL28" s="29"/>
      <c r="AM28" s="21"/>
      <c r="AN28" s="21"/>
      <c r="AR28" s="108"/>
      <c r="AS28" s="21"/>
      <c r="AT28" s="21"/>
      <c r="AU28" s="21"/>
      <c r="AV28" s="78"/>
      <c r="AW28" s="21"/>
      <c r="AX28" s="21"/>
      <c r="AY28" s="21"/>
      <c r="AZ28" s="21"/>
      <c r="BA28" s="21"/>
      <c r="BB28" s="21"/>
      <c r="BC28" s="21"/>
      <c r="BD28" s="116"/>
      <c r="BK28" s="126"/>
      <c r="BN28" s="127" t="s">
        <v>139</v>
      </c>
    </row>
    <row r="29" spans="1:71" hidden="1" outlineLevel="1" x14ac:dyDescent="0.6">
      <c r="F29"/>
      <c r="G29" s="22"/>
      <c r="H29" s="18"/>
      <c r="I29" s="23"/>
      <c r="J29" s="23"/>
      <c r="K29" s="23"/>
      <c r="L29" s="23"/>
      <c r="M29" s="23"/>
      <c r="N29" s="23"/>
      <c r="R29" s="26"/>
      <c r="S29" s="20"/>
      <c r="T29" s="21"/>
      <c r="U29" s="21"/>
      <c r="V29" s="21"/>
      <c r="W29" s="25"/>
      <c r="X29" s="21"/>
      <c r="Y29" s="21"/>
      <c r="Z29" s="21"/>
      <c r="AA29" s="33"/>
      <c r="AB29" s="21"/>
      <c r="AC29" s="21"/>
      <c r="AD29" s="21"/>
      <c r="AE29" s="31"/>
      <c r="AF29" s="21"/>
      <c r="AG29" s="21"/>
      <c r="AH29" s="21"/>
      <c r="AI29" s="28"/>
      <c r="AJ29" s="21"/>
      <c r="AK29" s="21"/>
      <c r="AL29" s="29"/>
      <c r="AM29" s="21"/>
      <c r="AN29" s="21"/>
      <c r="AR29" s="108"/>
      <c r="AS29" s="21"/>
      <c r="AT29" s="21"/>
      <c r="AU29" s="21"/>
      <c r="AV29" s="78"/>
      <c r="AW29" s="21"/>
      <c r="AX29" s="21"/>
      <c r="AY29" s="21"/>
      <c r="AZ29" s="21"/>
      <c r="BA29" s="21"/>
      <c r="BB29" s="21"/>
      <c r="BC29" s="21"/>
      <c r="BD29" s="116"/>
      <c r="BK29" s="126"/>
      <c r="BN29" s="127"/>
      <c r="BS29" s="136" t="s">
        <v>143</v>
      </c>
    </row>
    <row r="30" spans="1:71" ht="10.5" hidden="1" customHeight="1" outlineLevel="1" thickBot="1" x14ac:dyDescent="0.65">
      <c r="F30"/>
      <c r="G30" s="22"/>
      <c r="H30" s="18"/>
      <c r="I30" s="23"/>
      <c r="J30" s="23"/>
      <c r="K30" s="23"/>
      <c r="L30" s="23"/>
      <c r="M30" s="23"/>
      <c r="N30" s="23"/>
      <c r="R30" s="26"/>
      <c r="S30" s="20"/>
      <c r="T30" s="21"/>
      <c r="U30" s="21"/>
      <c r="V30" s="21"/>
      <c r="W30" s="25"/>
      <c r="X30" s="21"/>
      <c r="Y30" s="21"/>
      <c r="Z30" s="21"/>
      <c r="AA30" s="33"/>
      <c r="AB30" s="21"/>
      <c r="AC30" s="21"/>
      <c r="AD30" s="21"/>
      <c r="AE30" s="31"/>
      <c r="AF30" s="21"/>
      <c r="AG30" s="21"/>
      <c r="AH30" s="21"/>
      <c r="AI30" s="28"/>
      <c r="AJ30" s="21"/>
      <c r="AK30" s="21"/>
      <c r="AL30" s="29"/>
      <c r="AM30" s="21"/>
      <c r="AN30" s="21"/>
      <c r="AR30" s="108"/>
      <c r="AS30" s="21"/>
      <c r="AT30" s="21"/>
      <c r="AU30" s="21"/>
      <c r="AV30" s="78"/>
      <c r="AW30" s="21"/>
      <c r="AX30" s="21"/>
      <c r="AY30" s="21"/>
      <c r="AZ30" s="21"/>
      <c r="BA30" s="21"/>
      <c r="BB30" s="21"/>
      <c r="BC30" s="21"/>
      <c r="BD30" s="116"/>
      <c r="BK30" s="126"/>
      <c r="BN30" s="127"/>
      <c r="BS30" s="136"/>
    </row>
    <row r="31" spans="1:71" s="162" customFormat="1" ht="16.3" collapsed="1" thickBot="1" x14ac:dyDescent="0.5">
      <c r="A31" s="159"/>
      <c r="B31" s="159"/>
      <c r="C31" s="159"/>
      <c r="D31" s="159"/>
      <c r="E31" s="159"/>
      <c r="F31" s="160"/>
      <c r="G31" s="161" t="s">
        <v>215</v>
      </c>
      <c r="I31" s="163"/>
      <c r="J31" s="163"/>
      <c r="K31" s="163"/>
      <c r="L31" s="163"/>
      <c r="M31" s="163"/>
      <c r="N31" s="163"/>
      <c r="O31" s="194"/>
      <c r="P31" s="163"/>
      <c r="Q31" s="163"/>
      <c r="R31" s="164"/>
      <c r="T31" s="163"/>
      <c r="U31" s="163"/>
      <c r="V31" s="163"/>
      <c r="W31" s="165"/>
      <c r="X31" s="163"/>
      <c r="Y31" s="163"/>
      <c r="Z31" s="163"/>
      <c r="AA31" s="166"/>
      <c r="AB31" s="163"/>
      <c r="AC31" s="163"/>
      <c r="AD31" s="163"/>
      <c r="AE31" s="167"/>
      <c r="AF31" s="163"/>
      <c r="AG31" s="163"/>
      <c r="AH31" s="163"/>
      <c r="AI31" s="168"/>
      <c r="AJ31" s="163"/>
      <c r="AK31" s="163"/>
      <c r="AL31" s="169"/>
      <c r="AM31" s="163"/>
      <c r="AN31" s="163"/>
      <c r="AR31" s="170"/>
      <c r="AS31" s="163"/>
      <c r="AT31" s="163"/>
      <c r="AU31" s="163"/>
      <c r="AV31" s="171"/>
      <c r="AW31" s="163"/>
      <c r="AX31" s="163"/>
      <c r="AY31" s="163"/>
      <c r="AZ31" s="163"/>
      <c r="BA31" s="163"/>
      <c r="BB31" s="163"/>
      <c r="BC31" s="163"/>
      <c r="BD31" s="172"/>
      <c r="BE31" s="163"/>
      <c r="BF31" s="163"/>
      <c r="BG31" s="163"/>
      <c r="BH31" s="163"/>
      <c r="BI31" s="163"/>
      <c r="BJ31" s="163"/>
      <c r="BK31" s="173"/>
      <c r="BN31" s="174"/>
      <c r="BS31" s="175"/>
    </row>
    <row r="32" spans="1:71" s="36" customFormat="1" ht="23.6" thickTop="1" x14ac:dyDescent="0.6">
      <c r="A32" s="20"/>
      <c r="B32" s="20"/>
      <c r="C32" s="20"/>
      <c r="D32" s="20"/>
      <c r="F32" s="46"/>
      <c r="G32" s="55" t="s">
        <v>63</v>
      </c>
      <c r="H32" s="45" t="s">
        <v>18</v>
      </c>
      <c r="I32" s="45">
        <v>1</v>
      </c>
      <c r="J32" s="45"/>
      <c r="K32" s="45"/>
      <c r="L32" s="45"/>
      <c r="M32" s="45"/>
      <c r="N32" s="45"/>
      <c r="O32" s="191"/>
      <c r="P32" s="45"/>
      <c r="Q32" s="45"/>
      <c r="R32" s="57"/>
      <c r="S32" s="46"/>
      <c r="T32" s="45"/>
      <c r="U32" s="45"/>
      <c r="V32" s="45"/>
      <c r="W32" s="47"/>
      <c r="X32" s="45"/>
      <c r="Y32" s="45"/>
      <c r="Z32" s="45"/>
      <c r="AA32" s="48"/>
      <c r="AB32" s="45">
        <v>1</v>
      </c>
      <c r="AC32" s="45">
        <v>1</v>
      </c>
      <c r="AD32" s="45">
        <v>1</v>
      </c>
      <c r="AE32" s="49"/>
      <c r="AF32" s="45">
        <v>1</v>
      </c>
      <c r="AG32" s="45">
        <v>1</v>
      </c>
      <c r="AH32" s="45">
        <v>1</v>
      </c>
      <c r="AI32" s="50"/>
      <c r="AJ32" s="45">
        <v>1</v>
      </c>
      <c r="AK32" s="45"/>
      <c r="AL32" s="51"/>
      <c r="AM32" s="45"/>
      <c r="AN32" s="45"/>
      <c r="AR32" s="109"/>
      <c r="AS32" s="45">
        <v>1</v>
      </c>
      <c r="AT32" s="45"/>
      <c r="AU32" s="45"/>
      <c r="AV32" s="52"/>
      <c r="AW32" s="45">
        <v>1</v>
      </c>
      <c r="AX32" s="45"/>
      <c r="AY32" s="45"/>
      <c r="AZ32" s="45"/>
      <c r="BA32" s="45"/>
      <c r="BB32" s="45"/>
      <c r="BC32" s="45"/>
      <c r="BD32" s="115"/>
      <c r="BE32" s="45"/>
      <c r="BF32" s="45">
        <v>1</v>
      </c>
      <c r="BG32" s="45"/>
      <c r="BH32" s="45"/>
      <c r="BI32" s="45"/>
      <c r="BJ32" s="45">
        <v>1</v>
      </c>
      <c r="BK32" s="102"/>
      <c r="BN32" s="124"/>
      <c r="BS32" s="133"/>
    </row>
    <row r="33" spans="6:72" s="36" customFormat="1" x14ac:dyDescent="0.6">
      <c r="F33" s="46"/>
      <c r="G33" s="55" t="s">
        <v>63</v>
      </c>
      <c r="H33" s="45" t="s">
        <v>14</v>
      </c>
      <c r="I33" s="45">
        <v>1</v>
      </c>
      <c r="J33" s="45"/>
      <c r="K33" s="45"/>
      <c r="L33" s="45"/>
      <c r="M33" s="45"/>
      <c r="N33" s="45"/>
      <c r="O33" s="191"/>
      <c r="P33" s="45"/>
      <c r="Q33" s="45">
        <v>1</v>
      </c>
      <c r="R33" s="57"/>
      <c r="S33" s="46"/>
      <c r="T33" s="45"/>
      <c r="U33" s="45"/>
      <c r="V33" s="45"/>
      <c r="W33" s="47"/>
      <c r="X33" s="45"/>
      <c r="Y33" s="45"/>
      <c r="Z33" s="45"/>
      <c r="AA33" s="48"/>
      <c r="AB33" s="45">
        <v>1</v>
      </c>
      <c r="AC33" s="45">
        <v>1</v>
      </c>
      <c r="AD33" s="45">
        <v>1</v>
      </c>
      <c r="AE33" s="49"/>
      <c r="AF33" s="45"/>
      <c r="AG33" s="45"/>
      <c r="AH33" s="45"/>
      <c r="AI33" s="50"/>
      <c r="AJ33" s="45"/>
      <c r="AK33" s="45"/>
      <c r="AL33" s="51"/>
      <c r="AM33" s="45"/>
      <c r="AN33" s="45"/>
      <c r="AR33" s="109"/>
      <c r="AS33" s="45"/>
      <c r="AT33" s="45"/>
      <c r="AU33" s="45"/>
      <c r="AV33" s="52"/>
      <c r="AW33" s="45"/>
      <c r="AX33" s="45"/>
      <c r="AY33" s="45"/>
      <c r="AZ33" s="45"/>
      <c r="BA33" s="45"/>
      <c r="BB33" s="45"/>
      <c r="BC33" s="45"/>
      <c r="BD33" s="117"/>
      <c r="BE33" s="45"/>
      <c r="BF33" s="45"/>
      <c r="BG33" s="45"/>
      <c r="BH33" s="45"/>
      <c r="BI33" s="45"/>
      <c r="BJ33" s="45"/>
      <c r="BK33" s="102"/>
      <c r="BN33" s="124"/>
      <c r="BS33" s="133"/>
    </row>
    <row r="34" spans="6:72" s="37" customFormat="1" ht="15.75" customHeight="1" x14ac:dyDescent="0.6">
      <c r="F34" s="53"/>
      <c r="G34" s="55" t="s">
        <v>63</v>
      </c>
      <c r="H34" s="45" t="s">
        <v>13</v>
      </c>
      <c r="I34" s="38" t="s">
        <v>65</v>
      </c>
      <c r="J34" s="38"/>
      <c r="K34" s="38"/>
      <c r="L34" s="38"/>
      <c r="M34" s="38"/>
      <c r="N34" s="38"/>
      <c r="O34" s="191"/>
      <c r="P34" s="38"/>
      <c r="Q34" s="38" t="s">
        <v>65</v>
      </c>
      <c r="R34" s="58"/>
      <c r="S34" s="38" t="s">
        <v>48</v>
      </c>
      <c r="T34" s="38" t="s">
        <v>48</v>
      </c>
      <c r="U34" s="38" t="s">
        <v>48</v>
      </c>
      <c r="V34" s="38"/>
      <c r="W34" s="39"/>
      <c r="X34" s="38" t="s">
        <v>49</v>
      </c>
      <c r="Y34" s="38" t="s">
        <v>49</v>
      </c>
      <c r="Z34" s="38"/>
      <c r="AA34" s="40"/>
      <c r="AB34" s="38" t="s">
        <v>52</v>
      </c>
      <c r="AC34" s="38" t="s">
        <v>52</v>
      </c>
      <c r="AD34" s="38" t="s">
        <v>52</v>
      </c>
      <c r="AE34" s="41"/>
      <c r="AF34" s="38" t="s">
        <v>55</v>
      </c>
      <c r="AG34" s="38" t="s">
        <v>55</v>
      </c>
      <c r="AH34" s="38" t="s">
        <v>55</v>
      </c>
      <c r="AI34" s="42"/>
      <c r="AJ34" s="38" t="s">
        <v>58</v>
      </c>
      <c r="AK34" s="38"/>
      <c r="AL34" s="43"/>
      <c r="AM34" s="38" t="s">
        <v>116</v>
      </c>
      <c r="AN34" s="38"/>
      <c r="AO34" s="38" t="s">
        <v>116</v>
      </c>
      <c r="AP34" s="38"/>
      <c r="AQ34" s="38"/>
      <c r="AR34" s="110"/>
      <c r="AS34" s="38" t="s">
        <v>115</v>
      </c>
      <c r="AT34" s="38"/>
      <c r="AU34" s="38"/>
      <c r="AV34" s="44"/>
      <c r="AW34" s="38" t="s">
        <v>6</v>
      </c>
      <c r="AX34" s="38"/>
      <c r="AY34" s="38"/>
      <c r="AZ34" s="38"/>
      <c r="BA34" s="38"/>
      <c r="BB34" s="38"/>
      <c r="BC34" s="38"/>
      <c r="BD34" s="118"/>
      <c r="BE34" s="38"/>
      <c r="BF34" s="38" t="s">
        <v>62</v>
      </c>
      <c r="BG34" s="38" t="s">
        <v>62</v>
      </c>
      <c r="BH34" s="38" t="s">
        <v>62</v>
      </c>
      <c r="BI34" s="38" t="s">
        <v>62</v>
      </c>
      <c r="BJ34" s="38" t="s">
        <v>62</v>
      </c>
      <c r="BK34" s="103"/>
      <c r="BN34" s="125"/>
      <c r="BS34" s="134"/>
    </row>
    <row r="35" spans="6:72" s="184" customFormat="1" ht="252" customHeight="1" thickBot="1" x14ac:dyDescent="0.45">
      <c r="F35" s="176"/>
      <c r="G35" s="156" t="s">
        <v>9</v>
      </c>
      <c r="H35" s="177" t="s">
        <v>64</v>
      </c>
      <c r="I35" s="177" t="s">
        <v>0</v>
      </c>
      <c r="J35" s="177" t="s">
        <v>88</v>
      </c>
      <c r="K35" s="177" t="s">
        <v>89</v>
      </c>
      <c r="L35" s="177" t="s">
        <v>90</v>
      </c>
      <c r="M35" s="177" t="s">
        <v>7</v>
      </c>
      <c r="N35" s="177" t="s">
        <v>221</v>
      </c>
      <c r="O35" s="193" t="s">
        <v>223</v>
      </c>
      <c r="P35" s="177" t="s">
        <v>219</v>
      </c>
      <c r="Q35" s="177" t="s">
        <v>220</v>
      </c>
      <c r="R35" s="178" t="s">
        <v>48</v>
      </c>
      <c r="S35" s="177" t="s">
        <v>47</v>
      </c>
      <c r="T35" s="177" t="s">
        <v>11</v>
      </c>
      <c r="U35" s="177" t="s">
        <v>8</v>
      </c>
      <c r="V35" s="177" t="s">
        <v>84</v>
      </c>
      <c r="W35" s="179" t="s">
        <v>49</v>
      </c>
      <c r="X35" s="177" t="s">
        <v>216</v>
      </c>
      <c r="Y35" s="177" t="s">
        <v>217</v>
      </c>
      <c r="Z35" s="177" t="s">
        <v>218</v>
      </c>
      <c r="AA35" s="180" t="s">
        <v>52</v>
      </c>
      <c r="AB35" s="177" t="s">
        <v>10</v>
      </c>
      <c r="AC35" s="177" t="s">
        <v>1</v>
      </c>
      <c r="AD35" s="177" t="s">
        <v>2</v>
      </c>
      <c r="AE35" s="181" t="s">
        <v>55</v>
      </c>
      <c r="AF35" s="177" t="s">
        <v>101</v>
      </c>
      <c r="AG35" s="177" t="s">
        <v>102</v>
      </c>
      <c r="AH35" s="177" t="s">
        <v>4</v>
      </c>
      <c r="AI35" s="182" t="s">
        <v>58</v>
      </c>
      <c r="AJ35" s="177" t="s">
        <v>189</v>
      </c>
      <c r="AK35" s="177" t="s">
        <v>192</v>
      </c>
      <c r="AL35" s="183" t="s">
        <v>116</v>
      </c>
      <c r="AM35" s="177" t="s">
        <v>81</v>
      </c>
      <c r="AN35" s="176" t="s">
        <v>177</v>
      </c>
      <c r="AO35" s="184" t="s">
        <v>118</v>
      </c>
      <c r="AP35" s="184" t="s">
        <v>119</v>
      </c>
      <c r="AQ35" s="184" t="s">
        <v>156</v>
      </c>
      <c r="AR35" s="185" t="s">
        <v>115</v>
      </c>
      <c r="AS35" s="177" t="s">
        <v>82</v>
      </c>
      <c r="AT35" s="184" t="s">
        <v>120</v>
      </c>
      <c r="AU35" s="184" t="s">
        <v>121</v>
      </c>
      <c r="AV35" s="186" t="s">
        <v>60</v>
      </c>
      <c r="AW35" s="177" t="s">
        <v>83</v>
      </c>
      <c r="AX35" s="177" t="s">
        <v>126</v>
      </c>
      <c r="AY35" s="177" t="s">
        <v>127</v>
      </c>
      <c r="AZ35" s="177" t="s">
        <v>128</v>
      </c>
      <c r="BA35" s="177" t="s">
        <v>129</v>
      </c>
      <c r="BB35" s="177" t="s">
        <v>146</v>
      </c>
      <c r="BC35" s="177" t="s">
        <v>169</v>
      </c>
      <c r="BD35" s="187" t="s">
        <v>62</v>
      </c>
      <c r="BE35" s="177" t="s">
        <v>107</v>
      </c>
      <c r="BF35" s="177" t="s">
        <v>96</v>
      </c>
      <c r="BG35" s="177" t="s">
        <v>94</v>
      </c>
      <c r="BH35" s="177" t="s">
        <v>93</v>
      </c>
      <c r="BI35" s="177" t="s">
        <v>92</v>
      </c>
      <c r="BJ35" s="177" t="s">
        <v>95</v>
      </c>
      <c r="BK35" s="188" t="s">
        <v>109</v>
      </c>
      <c r="BL35" s="177" t="s">
        <v>110</v>
      </c>
      <c r="BM35" s="177" t="s">
        <v>138</v>
      </c>
      <c r="BN35" s="189" t="s">
        <v>139</v>
      </c>
      <c r="BO35" s="177" t="s">
        <v>140</v>
      </c>
      <c r="BP35" s="177" t="s">
        <v>191</v>
      </c>
      <c r="BQ35" s="177" t="s">
        <v>141</v>
      </c>
      <c r="BR35" s="177" t="s">
        <v>142</v>
      </c>
      <c r="BS35" s="190" t="s">
        <v>143</v>
      </c>
      <c r="BT35" s="177" t="s">
        <v>190</v>
      </c>
    </row>
    <row r="36" spans="6:72" s="89" customFormat="1" ht="45.75" customHeight="1" thickTop="1" x14ac:dyDescent="0.6">
      <c r="F36" s="3"/>
      <c r="G36" s="157"/>
      <c r="H36" s="81" t="str">
        <f>IF(Table4[[#This Row],[tag1]]="",CONCATENATE(T36,U36),CONCATENATE(T36,U36,"_",V36))</f>
        <v>000_lean_20160818-planning</v>
      </c>
      <c r="I36" s="4" t="s">
        <v>86</v>
      </c>
      <c r="J36" s="4">
        <v>2019</v>
      </c>
      <c r="K36" s="4">
        <v>53.4</v>
      </c>
      <c r="L36" s="4">
        <v>50.3</v>
      </c>
      <c r="M36" s="4"/>
      <c r="N36" s="22"/>
      <c r="O36" s="191"/>
      <c r="P36" s="4"/>
      <c r="Q36" s="4">
        <v>0</v>
      </c>
      <c r="R36" s="82"/>
      <c r="S36" s="3">
        <v>0</v>
      </c>
      <c r="T36" s="4" t="str">
        <f t="shared" ref="T36:T55" si="1">CONCATENATE(CONCATENATE(TEXT((S36-MOD(S36, 10))/100,"0"),TEXT((S36-MOD(S36, 10))/10,"0"),TEXT(MOD(S36,10),"0")),"_")</f>
        <v>000_</v>
      </c>
      <c r="U36" s="4" t="s">
        <v>69</v>
      </c>
      <c r="V36" s="4" t="s">
        <v>85</v>
      </c>
      <c r="W36" s="83"/>
      <c r="X36" s="4"/>
      <c r="Y36" s="4"/>
      <c r="Z36" s="4" t="s">
        <v>145</v>
      </c>
      <c r="AA36" s="84"/>
      <c r="AB36" s="80" t="s">
        <v>3</v>
      </c>
      <c r="AC36" s="80">
        <v>0.51900000000000002</v>
      </c>
      <c r="AD36" s="80">
        <v>0.216</v>
      </c>
      <c r="AE36" s="85"/>
      <c r="AF36" s="4" t="s">
        <v>100</v>
      </c>
      <c r="AG36" s="4" t="s">
        <v>103</v>
      </c>
      <c r="AH36" s="4">
        <v>3</v>
      </c>
      <c r="AI36" s="86"/>
      <c r="AJ36" s="4" t="s">
        <v>137</v>
      </c>
      <c r="AK36" s="4"/>
      <c r="AL36" s="87"/>
      <c r="AM36" s="4" t="s">
        <v>98</v>
      </c>
      <c r="AN36" s="4"/>
      <c r="AQ36" s="105">
        <v>0.65</v>
      </c>
      <c r="AR36" s="111"/>
      <c r="AS36" s="4" t="s">
        <v>98</v>
      </c>
      <c r="AT36" s="4"/>
      <c r="AU36" s="4"/>
      <c r="AV36" s="88"/>
      <c r="AW36" s="4" t="s">
        <v>99</v>
      </c>
      <c r="AX36" s="4"/>
      <c r="AY36" s="4"/>
      <c r="AZ36" s="4"/>
      <c r="BA36" s="4"/>
      <c r="BB36" s="4"/>
      <c r="BC36" s="4"/>
      <c r="BD36" s="119"/>
      <c r="BE36" s="4" t="s">
        <v>108</v>
      </c>
      <c r="BF36" s="4" t="s">
        <v>5</v>
      </c>
      <c r="BG36" s="4" t="s">
        <v>5</v>
      </c>
      <c r="BH36" s="4" t="s">
        <v>5</v>
      </c>
      <c r="BI36" s="4" t="s">
        <v>5</v>
      </c>
      <c r="BJ36" s="4" t="s">
        <v>5</v>
      </c>
      <c r="BK36" s="104"/>
      <c r="BL36" s="105" t="s">
        <v>111</v>
      </c>
      <c r="BM36" s="105"/>
      <c r="BN36" s="128"/>
      <c r="BO36" s="105"/>
      <c r="BP36" s="105"/>
      <c r="BQ36" s="105">
        <v>3.75</v>
      </c>
      <c r="BR36" s="105"/>
      <c r="BS36" s="135"/>
      <c r="BT36" s="129"/>
    </row>
    <row r="37" spans="6:72" s="89" customFormat="1" ht="64.95" customHeight="1" x14ac:dyDescent="0.6">
      <c r="F37" s="3"/>
      <c r="G37" s="157"/>
      <c r="H37" s="81" t="str">
        <f>IF(Table4[[#This Row],[tag1]]="",CONCATENATE(T37,U37),CONCATENATE(T37,U37,"_",V37))</f>
        <v>001_clean_20160818-planning</v>
      </c>
      <c r="I37" s="4" t="s">
        <v>91</v>
      </c>
      <c r="J37" s="4">
        <v>2019</v>
      </c>
      <c r="K37" s="4">
        <v>33</v>
      </c>
      <c r="L37" s="4">
        <v>50.3</v>
      </c>
      <c r="M37" s="4"/>
      <c r="N37" s="22"/>
      <c r="O37" s="191"/>
      <c r="P37" s="4"/>
      <c r="Q37" s="4">
        <v>0</v>
      </c>
      <c r="R37" s="82"/>
      <c r="S37" s="3">
        <f t="shared" ref="S37:S43" si="2">S36+1</f>
        <v>1</v>
      </c>
      <c r="T37" s="4" t="str">
        <f t="shared" si="1"/>
        <v>001_</v>
      </c>
      <c r="U37" s="4" t="s">
        <v>70</v>
      </c>
      <c r="V37" s="4" t="s">
        <v>85</v>
      </c>
      <c r="W37" s="83"/>
      <c r="X37" s="4"/>
      <c r="Y37" s="4"/>
      <c r="Z37" s="4" t="s">
        <v>145</v>
      </c>
      <c r="AA37" s="84"/>
      <c r="AB37" s="80" t="s">
        <v>3</v>
      </c>
      <c r="AC37" s="80">
        <v>0.51900000000000002</v>
      </c>
      <c r="AD37" s="80">
        <v>0.216</v>
      </c>
      <c r="AE37" s="85"/>
      <c r="AF37" s="4" t="s">
        <v>100</v>
      </c>
      <c r="AG37" s="4" t="s">
        <v>103</v>
      </c>
      <c r="AH37" s="4">
        <v>3</v>
      </c>
      <c r="AI37" s="86"/>
      <c r="AJ37" s="4" t="s">
        <v>137</v>
      </c>
      <c r="AK37" s="4"/>
      <c r="AL37" s="87"/>
      <c r="AM37" s="4" t="s">
        <v>97</v>
      </c>
      <c r="AN37" s="4"/>
      <c r="AQ37" s="105">
        <v>0.65</v>
      </c>
      <c r="AR37" s="111"/>
      <c r="AS37" s="4" t="s">
        <v>97</v>
      </c>
      <c r="AT37" s="4"/>
      <c r="AU37" s="4"/>
      <c r="AV37" s="88"/>
      <c r="AW37" s="4" t="s">
        <v>99</v>
      </c>
      <c r="AX37" s="4"/>
      <c r="AY37" s="4"/>
      <c r="AZ37" s="4"/>
      <c r="BA37" s="4"/>
      <c r="BB37" s="4"/>
      <c r="BC37" s="4"/>
      <c r="BD37" s="119"/>
      <c r="BE37" s="4" t="s">
        <v>108</v>
      </c>
      <c r="BF37" s="4" t="s">
        <v>5</v>
      </c>
      <c r="BG37" s="4" t="s">
        <v>5</v>
      </c>
      <c r="BH37" s="4" t="s">
        <v>5</v>
      </c>
      <c r="BI37" s="4" t="s">
        <v>5</v>
      </c>
      <c r="BJ37" s="4" t="s">
        <v>5</v>
      </c>
      <c r="BK37" s="104"/>
      <c r="BL37" s="105" t="s">
        <v>111</v>
      </c>
      <c r="BM37" s="105"/>
      <c r="BN37" s="128"/>
      <c r="BO37" s="105"/>
      <c r="BP37" s="105"/>
      <c r="BQ37" s="105">
        <v>3.75</v>
      </c>
      <c r="BR37" s="105"/>
      <c r="BS37" s="135"/>
      <c r="BT37" s="129"/>
    </row>
    <row r="38" spans="6:72" s="89" customFormat="1" ht="60" customHeight="1" x14ac:dyDescent="0.6">
      <c r="F38" s="3"/>
      <c r="G38" s="157"/>
      <c r="H38" s="81" t="str">
        <f>IF(Table4[[#This Row],[tag1]]="",CONCATENATE(T38,U38),CONCATENATE(T38,U38,"_",V38))</f>
        <v>002_green_20160818-planning</v>
      </c>
      <c r="I38" s="4" t="s">
        <v>87</v>
      </c>
      <c r="J38" s="4">
        <v>2019</v>
      </c>
      <c r="K38" s="4">
        <v>22.5</v>
      </c>
      <c r="L38" s="4">
        <v>50.3</v>
      </c>
      <c r="M38" s="4"/>
      <c r="N38" s="22"/>
      <c r="O38" s="191"/>
      <c r="P38" s="4"/>
      <c r="Q38" s="4">
        <v>0</v>
      </c>
      <c r="R38" s="82"/>
      <c r="S38" s="3">
        <f t="shared" si="2"/>
        <v>2</v>
      </c>
      <c r="T38" s="4" t="str">
        <f t="shared" si="1"/>
        <v>002_</v>
      </c>
      <c r="U38" s="4" t="s">
        <v>71</v>
      </c>
      <c r="V38" s="4" t="s">
        <v>85</v>
      </c>
      <c r="W38" s="83"/>
      <c r="X38" s="4"/>
      <c r="Y38" s="4"/>
      <c r="Z38" s="4" t="s">
        <v>145</v>
      </c>
      <c r="AA38" s="84"/>
      <c r="AB38" s="80" t="s">
        <v>3</v>
      </c>
      <c r="AC38" s="80">
        <v>0.51900000000000002</v>
      </c>
      <c r="AD38" s="80">
        <v>0.216</v>
      </c>
      <c r="AE38" s="85"/>
      <c r="AF38" s="4" t="s">
        <v>100</v>
      </c>
      <c r="AG38" s="4" t="s">
        <v>103</v>
      </c>
      <c r="AH38" s="4">
        <v>3</v>
      </c>
      <c r="AI38" s="86"/>
      <c r="AJ38" s="4" t="s">
        <v>137</v>
      </c>
      <c r="AK38" s="4"/>
      <c r="AL38" s="87"/>
      <c r="AM38" s="4" t="s">
        <v>97</v>
      </c>
      <c r="AN38" s="4"/>
      <c r="AO38" s="89">
        <v>3.19</v>
      </c>
      <c r="AP38" s="105" t="s">
        <v>117</v>
      </c>
      <c r="AQ38" s="105">
        <v>0.65</v>
      </c>
      <c r="AR38" s="111"/>
      <c r="AS38" s="4" t="s">
        <v>97</v>
      </c>
      <c r="AT38" s="4">
        <v>2.8</v>
      </c>
      <c r="AU38" s="4" t="s">
        <v>122</v>
      </c>
      <c r="AV38" s="88"/>
      <c r="AW38" s="4" t="s">
        <v>99</v>
      </c>
      <c r="AX38" s="4"/>
      <c r="AY38" s="4"/>
      <c r="AZ38" s="4"/>
      <c r="BA38" s="4"/>
      <c r="BB38" s="4"/>
      <c r="BC38" s="4"/>
      <c r="BD38" s="119"/>
      <c r="BE38" s="4" t="s">
        <v>112</v>
      </c>
      <c r="BF38" s="4">
        <v>0.19</v>
      </c>
      <c r="BG38" s="4" t="s">
        <v>5</v>
      </c>
      <c r="BH38" s="4">
        <v>180</v>
      </c>
      <c r="BI38" s="4">
        <v>1</v>
      </c>
      <c r="BJ38" s="4">
        <v>156</v>
      </c>
      <c r="BK38" s="104"/>
      <c r="BL38" s="105" t="s">
        <v>113</v>
      </c>
      <c r="BM38" s="105"/>
      <c r="BN38" s="128"/>
      <c r="BO38" s="105"/>
      <c r="BP38" s="105"/>
      <c r="BQ38" s="105">
        <v>3.75</v>
      </c>
      <c r="BR38" s="105"/>
      <c r="BS38" s="135"/>
      <c r="BT38" s="129"/>
    </row>
    <row r="39" spans="6:72" s="89" customFormat="1" ht="60" customHeight="1" x14ac:dyDescent="0.6">
      <c r="F39" s="3"/>
      <c r="G39" s="157"/>
      <c r="H39" s="81" t="str">
        <f>IF(Table4[[#This Row],[tag1]]="",CONCATENATE(T39,U39),CONCATENATE(T39,U39,"_",V39))</f>
        <v>003_green_ashp</v>
      </c>
      <c r="I39" s="4" t="s">
        <v>114</v>
      </c>
      <c r="J39" s="4">
        <v>2019</v>
      </c>
      <c r="K39" s="4">
        <v>22.5</v>
      </c>
      <c r="L39" s="4">
        <v>50.3</v>
      </c>
      <c r="M39" s="4"/>
      <c r="N39" s="22"/>
      <c r="O39" s="191"/>
      <c r="P39" s="4"/>
      <c r="Q39" s="4">
        <v>0</v>
      </c>
      <c r="R39" s="82"/>
      <c r="S39" s="3">
        <f t="shared" si="2"/>
        <v>3</v>
      </c>
      <c r="T39" s="4" t="str">
        <f t="shared" si="1"/>
        <v>003_</v>
      </c>
      <c r="U39" s="4" t="s">
        <v>71</v>
      </c>
      <c r="V39" s="4" t="s">
        <v>104</v>
      </c>
      <c r="W39" s="83"/>
      <c r="X39" s="4"/>
      <c r="Y39" s="4"/>
      <c r="Z39" s="4" t="s">
        <v>145</v>
      </c>
      <c r="AA39" s="84"/>
      <c r="AB39" s="80" t="s">
        <v>45</v>
      </c>
      <c r="AC39" s="80">
        <v>0.23300000000000001</v>
      </c>
      <c r="AD39" s="80">
        <v>0.21</v>
      </c>
      <c r="AE39" s="85"/>
      <c r="AF39" s="4" t="s">
        <v>100</v>
      </c>
      <c r="AG39" s="4" t="s">
        <v>103</v>
      </c>
      <c r="AH39" s="4">
        <v>3</v>
      </c>
      <c r="AI39" s="86"/>
      <c r="AJ39" s="4" t="s">
        <v>137</v>
      </c>
      <c r="AK39" s="4"/>
      <c r="AL39" s="87"/>
      <c r="AM39" s="4" t="s">
        <v>105</v>
      </c>
      <c r="AN39" s="4"/>
      <c r="AO39" s="89">
        <v>3.19</v>
      </c>
      <c r="AP39" s="105" t="s">
        <v>117</v>
      </c>
      <c r="AQ39" s="105">
        <v>0.65</v>
      </c>
      <c r="AR39" s="111"/>
      <c r="AS39" s="4" t="s">
        <v>106</v>
      </c>
      <c r="AT39" s="4">
        <v>2.8</v>
      </c>
      <c r="AU39" s="4" t="s">
        <v>122</v>
      </c>
      <c r="AV39" s="88"/>
      <c r="AW39" s="4" t="s">
        <v>99</v>
      </c>
      <c r="AX39" s="4">
        <v>2.4</v>
      </c>
      <c r="AY39" s="4">
        <v>4</v>
      </c>
      <c r="AZ39" s="4">
        <v>3</v>
      </c>
      <c r="BA39" s="4">
        <v>0.9</v>
      </c>
      <c r="BB39" s="4"/>
      <c r="BC39" s="4"/>
      <c r="BD39" s="119"/>
      <c r="BE39" s="4" t="s">
        <v>125</v>
      </c>
      <c r="BF39" s="4">
        <v>0.19</v>
      </c>
      <c r="BG39" s="4" t="s">
        <v>5</v>
      </c>
      <c r="BH39" s="4">
        <v>180</v>
      </c>
      <c r="BI39" s="4">
        <v>1</v>
      </c>
      <c r="BJ39" s="4">
        <v>156</v>
      </c>
      <c r="BK39" s="104"/>
      <c r="BL39" s="105" t="s">
        <v>113</v>
      </c>
      <c r="BM39" s="105"/>
      <c r="BN39" s="128"/>
      <c r="BO39" s="105"/>
      <c r="BP39" s="105"/>
      <c r="BQ39" s="105">
        <v>3.75</v>
      </c>
      <c r="BR39" s="105"/>
      <c r="BS39" s="135"/>
      <c r="BT39" s="129"/>
    </row>
    <row r="40" spans="6:72" s="89" customFormat="1" ht="67.5" customHeight="1" x14ac:dyDescent="0.6">
      <c r="F40" s="3"/>
      <c r="G40" s="157"/>
      <c r="H40" s="81" t="str">
        <f>IF(Table4[[#This Row],[tag1]]="",CONCATENATE(T40,U40),CONCATENATE(T40,U40,"_",V40))</f>
        <v>004_green_ashp-no PV-T</v>
      </c>
      <c r="I40" s="4" t="s">
        <v>114</v>
      </c>
      <c r="J40" s="4">
        <v>2019</v>
      </c>
      <c r="K40" s="4"/>
      <c r="L40" s="4">
        <v>50.3</v>
      </c>
      <c r="M40" s="4"/>
      <c r="N40" s="22"/>
      <c r="O40" s="191"/>
      <c r="P40" s="4"/>
      <c r="Q40" s="4">
        <v>0</v>
      </c>
      <c r="R40" s="82"/>
      <c r="S40" s="3">
        <f t="shared" si="2"/>
        <v>4</v>
      </c>
      <c r="T40" s="4" t="str">
        <f t="shared" si="1"/>
        <v>004_</v>
      </c>
      <c r="U40" s="4" t="s">
        <v>71</v>
      </c>
      <c r="V40" s="4" t="s">
        <v>124</v>
      </c>
      <c r="W40" s="83"/>
      <c r="X40" s="4"/>
      <c r="Y40" s="4"/>
      <c r="Z40" s="4" t="s">
        <v>145</v>
      </c>
      <c r="AA40" s="84"/>
      <c r="AB40" s="80" t="s">
        <v>45</v>
      </c>
      <c r="AC40" s="80">
        <v>0.23300000000000001</v>
      </c>
      <c r="AD40" s="80">
        <v>0.21</v>
      </c>
      <c r="AE40" s="85"/>
      <c r="AF40" s="4" t="s">
        <v>100</v>
      </c>
      <c r="AG40" s="4" t="s">
        <v>103</v>
      </c>
      <c r="AH40" s="4">
        <v>3</v>
      </c>
      <c r="AI40" s="86"/>
      <c r="AJ40" s="4" t="s">
        <v>137</v>
      </c>
      <c r="AK40" s="4"/>
      <c r="AL40" s="87"/>
      <c r="AM40" s="4" t="s">
        <v>105</v>
      </c>
      <c r="AN40" s="4"/>
      <c r="AO40" s="89">
        <v>3.19</v>
      </c>
      <c r="AP40" s="105" t="s">
        <v>117</v>
      </c>
      <c r="AQ40" s="105">
        <v>0.65</v>
      </c>
      <c r="AR40" s="111"/>
      <c r="AS40" s="4" t="s">
        <v>106</v>
      </c>
      <c r="AT40" s="4">
        <v>2.8</v>
      </c>
      <c r="AU40" s="4" t="s">
        <v>122</v>
      </c>
      <c r="AV40" s="88"/>
      <c r="AW40" s="4" t="s">
        <v>99</v>
      </c>
      <c r="AX40" s="4">
        <v>2.4</v>
      </c>
      <c r="AY40" s="4">
        <v>4</v>
      </c>
      <c r="AZ40" s="4">
        <v>3</v>
      </c>
      <c r="BA40" s="4">
        <v>0.9</v>
      </c>
      <c r="BB40" s="4"/>
      <c r="BC40" s="4"/>
      <c r="BD40" s="119"/>
      <c r="BE40" s="4" t="s">
        <v>125</v>
      </c>
      <c r="BF40" s="4">
        <v>0.19</v>
      </c>
      <c r="BG40" s="4" t="s">
        <v>5</v>
      </c>
      <c r="BH40" s="4">
        <v>180</v>
      </c>
      <c r="BI40" s="4">
        <v>1</v>
      </c>
      <c r="BJ40" s="4">
        <v>156</v>
      </c>
      <c r="BK40" s="104"/>
      <c r="BL40" s="105" t="s">
        <v>111</v>
      </c>
      <c r="BM40" s="105"/>
      <c r="BN40" s="128"/>
      <c r="BO40" s="105"/>
      <c r="BP40" s="105"/>
      <c r="BQ40" s="105">
        <v>3.75</v>
      </c>
      <c r="BR40" s="105"/>
      <c r="BS40" s="135"/>
      <c r="BT40" s="129"/>
    </row>
    <row r="41" spans="6:72" s="89" customFormat="1" ht="60" customHeight="1" x14ac:dyDescent="0.6">
      <c r="F41" s="3"/>
      <c r="G41" s="157"/>
      <c r="H41" s="81" t="str">
        <f>IF(Table4[[#This Row],[tag1]]="",CONCATENATE(T41,U41),CONCATENATE(T41,U41,"_",V41))</f>
        <v>005_green_ashp-boiler-no PV-T</v>
      </c>
      <c r="I41" s="4" t="s">
        <v>114</v>
      </c>
      <c r="J41" s="4">
        <v>2019</v>
      </c>
      <c r="K41" s="4"/>
      <c r="L41" s="4">
        <v>50.3</v>
      </c>
      <c r="M41" s="4"/>
      <c r="N41" s="22"/>
      <c r="O41" s="191"/>
      <c r="P41" s="4"/>
      <c r="Q41" s="4">
        <v>0</v>
      </c>
      <c r="R41" s="82"/>
      <c r="S41" s="3">
        <f t="shared" si="2"/>
        <v>5</v>
      </c>
      <c r="T41" s="4" t="str">
        <f t="shared" si="1"/>
        <v>005_</v>
      </c>
      <c r="U41" s="4" t="s">
        <v>71</v>
      </c>
      <c r="V41" s="4" t="s">
        <v>136</v>
      </c>
      <c r="W41" s="83"/>
      <c r="X41" s="4"/>
      <c r="Y41" s="4"/>
      <c r="Z41" s="4" t="s">
        <v>145</v>
      </c>
      <c r="AA41" s="84"/>
      <c r="AB41" s="80" t="s">
        <v>45</v>
      </c>
      <c r="AC41" s="80">
        <v>0.23300000000000001</v>
      </c>
      <c r="AD41" s="80">
        <v>0.21</v>
      </c>
      <c r="AE41" s="85"/>
      <c r="AF41" s="4" t="s">
        <v>100</v>
      </c>
      <c r="AG41" s="4" t="s">
        <v>103</v>
      </c>
      <c r="AH41" s="4">
        <v>3</v>
      </c>
      <c r="AI41" s="86"/>
      <c r="AJ41" s="4" t="s">
        <v>137</v>
      </c>
      <c r="AK41" s="4"/>
      <c r="AL41" s="87"/>
      <c r="AM41" s="4" t="s">
        <v>166</v>
      </c>
      <c r="AN41" s="4"/>
      <c r="AO41" s="89">
        <v>3.19</v>
      </c>
      <c r="AP41" s="105" t="s">
        <v>117</v>
      </c>
      <c r="AQ41" s="105">
        <v>0.65</v>
      </c>
      <c r="AR41" s="111"/>
      <c r="AS41" s="4" t="s">
        <v>106</v>
      </c>
      <c r="AT41" s="4">
        <v>2.8</v>
      </c>
      <c r="AU41" s="4" t="s">
        <v>122</v>
      </c>
      <c r="AV41" s="88"/>
      <c r="AW41" s="4" t="s">
        <v>99</v>
      </c>
      <c r="AX41" s="4">
        <v>2.4</v>
      </c>
      <c r="AY41" s="4">
        <v>4</v>
      </c>
      <c r="AZ41" s="4">
        <v>3</v>
      </c>
      <c r="BA41" s="4">
        <v>0.9</v>
      </c>
      <c r="BB41" s="4"/>
      <c r="BC41" s="4"/>
      <c r="BD41" s="119"/>
      <c r="BE41" s="4" t="s">
        <v>125</v>
      </c>
      <c r="BF41" s="4">
        <v>0.19</v>
      </c>
      <c r="BG41" s="4" t="s">
        <v>5</v>
      </c>
      <c r="BH41" s="4">
        <v>180</v>
      </c>
      <c r="BI41" s="4">
        <v>1</v>
      </c>
      <c r="BJ41" s="4">
        <v>156</v>
      </c>
      <c r="BK41" s="104"/>
      <c r="BL41" s="105" t="s">
        <v>111</v>
      </c>
      <c r="BM41" s="105"/>
      <c r="BN41" s="128"/>
      <c r="BO41" s="105"/>
      <c r="BP41" s="105"/>
      <c r="BQ41" s="105">
        <v>3.75</v>
      </c>
      <c r="BR41" s="105"/>
      <c r="BS41" s="135"/>
      <c r="BT41" s="129"/>
    </row>
    <row r="42" spans="6:72" s="89" customFormat="1" ht="45.75" customHeight="1" x14ac:dyDescent="0.6">
      <c r="F42" s="3"/>
      <c r="G42" s="157"/>
      <c r="H42" s="81" t="str">
        <f>IF(Table4[[#This Row],[tag1]]="",CONCATENATE(T42,U42),CONCATENATE(T42,U42,"_",V42))</f>
        <v>006_lean_improved-fabric</v>
      </c>
      <c r="I42" s="4" t="s">
        <v>86</v>
      </c>
      <c r="J42" s="4">
        <v>2019</v>
      </c>
      <c r="K42" s="4"/>
      <c r="L42" s="4">
        <v>50.3</v>
      </c>
      <c r="M42" s="4"/>
      <c r="N42" s="22"/>
      <c r="O42" s="191"/>
      <c r="P42" s="4"/>
      <c r="Q42" s="4">
        <v>0</v>
      </c>
      <c r="R42" s="82"/>
      <c r="S42" s="3">
        <f t="shared" si="2"/>
        <v>6</v>
      </c>
      <c r="T42" s="4" t="str">
        <f t="shared" si="1"/>
        <v>006_</v>
      </c>
      <c r="U42" s="4" t="s">
        <v>69</v>
      </c>
      <c r="V42" s="4" t="s">
        <v>144</v>
      </c>
      <c r="W42" s="83"/>
      <c r="X42" s="4"/>
      <c r="Y42" s="4"/>
      <c r="Z42" s="4" t="s">
        <v>145</v>
      </c>
      <c r="AA42" s="84"/>
      <c r="AB42" s="80" t="s">
        <v>45</v>
      </c>
      <c r="AC42" s="80">
        <v>0.23300000000000001</v>
      </c>
      <c r="AD42" s="80">
        <v>0.21</v>
      </c>
      <c r="AE42" s="85"/>
      <c r="AF42" s="4" t="s">
        <v>100</v>
      </c>
      <c r="AG42" s="4" t="s">
        <v>103</v>
      </c>
      <c r="AH42" s="4">
        <v>3</v>
      </c>
      <c r="AI42" s="86"/>
      <c r="AJ42" s="4" t="s">
        <v>137</v>
      </c>
      <c r="AK42" s="4"/>
      <c r="AL42" s="87"/>
      <c r="AM42" s="4" t="s">
        <v>98</v>
      </c>
      <c r="AN42" s="4"/>
      <c r="AQ42" s="105">
        <v>0.8</v>
      </c>
      <c r="AR42" s="111"/>
      <c r="AS42" s="4" t="s">
        <v>98</v>
      </c>
      <c r="AT42" s="4"/>
      <c r="AU42" s="4"/>
      <c r="AV42" s="88"/>
      <c r="AW42" s="4" t="s">
        <v>99</v>
      </c>
      <c r="AX42" s="4"/>
      <c r="AY42" s="4"/>
      <c r="AZ42" s="4"/>
      <c r="BA42" s="4"/>
      <c r="BB42" s="4"/>
      <c r="BC42" s="4"/>
      <c r="BD42" s="119"/>
      <c r="BE42" s="4" t="s">
        <v>108</v>
      </c>
      <c r="BF42" s="4" t="s">
        <v>5</v>
      </c>
      <c r="BG42" s="4" t="s">
        <v>5</v>
      </c>
      <c r="BH42" s="4" t="s">
        <v>5</v>
      </c>
      <c r="BI42" s="4" t="s">
        <v>5</v>
      </c>
      <c r="BJ42" s="4" t="s">
        <v>5</v>
      </c>
      <c r="BK42" s="104"/>
      <c r="BL42" s="105" t="s">
        <v>111</v>
      </c>
      <c r="BM42" s="105"/>
      <c r="BN42" s="128"/>
      <c r="BO42" s="105" t="s">
        <v>150</v>
      </c>
      <c r="BP42" s="105"/>
      <c r="BQ42" s="105">
        <v>3</v>
      </c>
      <c r="BR42" s="105"/>
      <c r="BS42" s="135"/>
      <c r="BT42" s="129"/>
    </row>
    <row r="43" spans="6:72" s="89" customFormat="1" ht="45.75" customHeight="1" x14ac:dyDescent="0.6">
      <c r="F43" s="3"/>
      <c r="G43" s="157"/>
      <c r="H43" s="81" t="str">
        <f>IF(Table4[[#This Row],[tag1]]="",CONCATENATE(T43,U43),CONCATENATE(T43,U43,"_",V43))</f>
        <v>007_lean_passive</v>
      </c>
      <c r="I43" s="4" t="s">
        <v>86</v>
      </c>
      <c r="J43" s="4">
        <v>2019</v>
      </c>
      <c r="K43" s="4">
        <v>52.2</v>
      </c>
      <c r="L43" s="4">
        <v>50.3</v>
      </c>
      <c r="M43" s="4"/>
      <c r="N43" s="22"/>
      <c r="O43" s="191"/>
      <c r="P43" s="4"/>
      <c r="Q43" s="4">
        <v>0</v>
      </c>
      <c r="R43" s="82"/>
      <c r="S43" s="3">
        <f t="shared" si="2"/>
        <v>7</v>
      </c>
      <c r="T43" s="4" t="str">
        <f t="shared" si="1"/>
        <v>007_</v>
      </c>
      <c r="U43" s="4" t="s">
        <v>69</v>
      </c>
      <c r="V43" s="4" t="s">
        <v>148</v>
      </c>
      <c r="W43" s="83"/>
      <c r="X43" s="4"/>
      <c r="Y43" s="4"/>
      <c r="Z43" s="4" t="s">
        <v>145</v>
      </c>
      <c r="AA43" s="84"/>
      <c r="AB43" s="80" t="s">
        <v>45</v>
      </c>
      <c r="AC43" s="80">
        <v>0.23300000000000001</v>
      </c>
      <c r="AD43" s="80">
        <v>0.21</v>
      </c>
      <c r="AE43" s="85"/>
      <c r="AF43" s="4" t="s">
        <v>100</v>
      </c>
      <c r="AG43" s="4" t="s">
        <v>149</v>
      </c>
      <c r="AH43" s="4">
        <v>3</v>
      </c>
      <c r="AI43" s="86"/>
      <c r="AJ43" s="4" t="s">
        <v>137</v>
      </c>
      <c r="AK43" s="4"/>
      <c r="AL43" s="87"/>
      <c r="AM43" s="4" t="s">
        <v>98</v>
      </c>
      <c r="AN43" s="4"/>
      <c r="AQ43" s="105">
        <v>0.8</v>
      </c>
      <c r="AR43" s="111"/>
      <c r="AS43" s="4" t="s">
        <v>98</v>
      </c>
      <c r="AT43" s="4"/>
      <c r="AU43" s="4"/>
      <c r="AV43" s="88"/>
      <c r="AW43" s="4" t="s">
        <v>160</v>
      </c>
      <c r="AX43" s="4">
        <v>3.55</v>
      </c>
      <c r="AY43" s="4">
        <v>5</v>
      </c>
      <c r="AZ43" s="4">
        <v>4</v>
      </c>
      <c r="BA43" s="4"/>
      <c r="BB43" s="4" t="s">
        <v>147</v>
      </c>
      <c r="BC43" s="4"/>
      <c r="BD43" s="119"/>
      <c r="BE43" s="4" t="s">
        <v>108</v>
      </c>
      <c r="BF43" s="4" t="s">
        <v>5</v>
      </c>
      <c r="BG43" s="4" t="s">
        <v>5</v>
      </c>
      <c r="BH43" s="4" t="s">
        <v>5</v>
      </c>
      <c r="BI43" s="4" t="s">
        <v>5</v>
      </c>
      <c r="BJ43" s="4" t="s">
        <v>5</v>
      </c>
      <c r="BK43" s="104"/>
      <c r="BL43" s="105" t="s">
        <v>111</v>
      </c>
      <c r="BM43" s="105"/>
      <c r="BN43" s="128"/>
      <c r="BO43" s="105" t="s">
        <v>150</v>
      </c>
      <c r="BP43" s="105"/>
      <c r="BQ43" s="105">
        <v>3</v>
      </c>
      <c r="BR43" s="105" t="s">
        <v>168</v>
      </c>
      <c r="BS43" s="135"/>
      <c r="BT43" s="129" t="s">
        <v>152</v>
      </c>
    </row>
    <row r="44" spans="6:72" s="89" customFormat="1" ht="67.5" customHeight="1" x14ac:dyDescent="0.6">
      <c r="F44" s="3"/>
      <c r="G44" s="157"/>
      <c r="H44" s="81" t="str">
        <f>IF(Table4[[#This Row],[tag1]]="",CONCATENATE(T44,U44),CONCATENATE(T44,U44,"_",V44))</f>
        <v>008_lean_passive-improved-fabric</v>
      </c>
      <c r="I44" s="4" t="s">
        <v>86</v>
      </c>
      <c r="J44" s="4">
        <v>2019</v>
      </c>
      <c r="K44" s="4">
        <v>52.1</v>
      </c>
      <c r="L44" s="4">
        <v>50.3</v>
      </c>
      <c r="M44" s="4"/>
      <c r="N44" s="22"/>
      <c r="O44" s="191"/>
      <c r="P44" s="4"/>
      <c r="Q44" s="4">
        <v>0</v>
      </c>
      <c r="R44" s="82"/>
      <c r="S44" s="3">
        <f t="shared" ref="S44" si="3">S43+1</f>
        <v>8</v>
      </c>
      <c r="T44" s="4" t="str">
        <f t="shared" si="1"/>
        <v>008_</v>
      </c>
      <c r="U44" s="4" t="s">
        <v>69</v>
      </c>
      <c r="V44" s="4" t="s">
        <v>158</v>
      </c>
      <c r="W44" s="83"/>
      <c r="X44" s="4"/>
      <c r="Y44" s="4"/>
      <c r="Z44" s="4" t="s">
        <v>145</v>
      </c>
      <c r="AA44" s="84"/>
      <c r="AB44" s="80" t="s">
        <v>45</v>
      </c>
      <c r="AC44" s="80">
        <v>0.23300000000000001</v>
      </c>
      <c r="AD44" s="80">
        <v>0.21</v>
      </c>
      <c r="AE44" s="85"/>
      <c r="AF44" s="4" t="s">
        <v>100</v>
      </c>
      <c r="AG44" s="4" t="s">
        <v>159</v>
      </c>
      <c r="AH44" s="4">
        <v>3</v>
      </c>
      <c r="AI44" s="86"/>
      <c r="AJ44" s="4" t="s">
        <v>137</v>
      </c>
      <c r="AK44" s="4"/>
      <c r="AL44" s="87"/>
      <c r="AM44" s="4" t="s">
        <v>98</v>
      </c>
      <c r="AN44" s="4"/>
      <c r="AQ44" s="105">
        <v>0.8</v>
      </c>
      <c r="AR44" s="111"/>
      <c r="AS44" s="4" t="s">
        <v>98</v>
      </c>
      <c r="AT44" s="4"/>
      <c r="AU44" s="4"/>
      <c r="AV44" s="88"/>
      <c r="AW44" s="4" t="s">
        <v>157</v>
      </c>
      <c r="AX44" s="4">
        <v>3.55</v>
      </c>
      <c r="AY44" s="4">
        <v>5</v>
      </c>
      <c r="AZ44" s="4">
        <v>4</v>
      </c>
      <c r="BA44" s="4"/>
      <c r="BB44" s="4" t="s">
        <v>147</v>
      </c>
      <c r="BC44" s="4"/>
      <c r="BD44" s="119"/>
      <c r="BE44" s="4" t="s">
        <v>108</v>
      </c>
      <c r="BF44" s="4" t="s">
        <v>5</v>
      </c>
      <c r="BG44" s="4" t="s">
        <v>5</v>
      </c>
      <c r="BH44" s="4" t="s">
        <v>5</v>
      </c>
      <c r="BI44" s="4" t="s">
        <v>5</v>
      </c>
      <c r="BJ44" s="4" t="s">
        <v>5</v>
      </c>
      <c r="BK44" s="104"/>
      <c r="BL44" s="105" t="s">
        <v>111</v>
      </c>
      <c r="BM44" s="105"/>
      <c r="BN44" s="128"/>
      <c r="BO44" s="105" t="s">
        <v>150</v>
      </c>
      <c r="BP44" s="105"/>
      <c r="BQ44" s="105">
        <v>3</v>
      </c>
      <c r="BR44" s="105" t="s">
        <v>168</v>
      </c>
      <c r="BS44" s="135"/>
      <c r="BT44" s="129" t="s">
        <v>152</v>
      </c>
    </row>
    <row r="45" spans="6:72" s="89" customFormat="1" ht="67.5" customHeight="1" x14ac:dyDescent="0.6">
      <c r="F45" s="3"/>
      <c r="G45" s="157"/>
      <c r="H45" s="81" t="str">
        <f>IF(Table4[[#This Row],[tag1]]="",CONCATENATE(T45,U45),CONCATENATE(T45,U45,"_",V45))</f>
        <v>009_lean_passive-improved-fabric-ex-shade</v>
      </c>
      <c r="I45" s="4" t="s">
        <v>165</v>
      </c>
      <c r="J45" s="4">
        <v>2019</v>
      </c>
      <c r="K45" s="4">
        <v>51.7</v>
      </c>
      <c r="L45" s="4">
        <v>50.3</v>
      </c>
      <c r="M45" s="4"/>
      <c r="N45" s="22"/>
      <c r="O45" s="191"/>
      <c r="P45" s="4"/>
      <c r="Q45" s="4">
        <v>0</v>
      </c>
      <c r="R45" s="82"/>
      <c r="S45" s="3">
        <f t="shared" ref="S45:S50" si="4">S44+1</f>
        <v>9</v>
      </c>
      <c r="T45" s="4" t="str">
        <f t="shared" si="1"/>
        <v>009_</v>
      </c>
      <c r="U45" s="4" t="s">
        <v>69</v>
      </c>
      <c r="V45" s="4" t="s">
        <v>161</v>
      </c>
      <c r="W45" s="83"/>
      <c r="X45" s="4"/>
      <c r="Y45" s="4"/>
      <c r="Z45" s="4" t="s">
        <v>145</v>
      </c>
      <c r="AA45" s="84"/>
      <c r="AB45" s="80" t="s">
        <v>45</v>
      </c>
      <c r="AC45" s="80">
        <v>0.23300000000000001</v>
      </c>
      <c r="AD45" s="80">
        <v>0.21</v>
      </c>
      <c r="AE45" s="85"/>
      <c r="AF45" s="4" t="s">
        <v>100</v>
      </c>
      <c r="AG45" s="4" t="s">
        <v>159</v>
      </c>
      <c r="AH45" s="4">
        <v>3</v>
      </c>
      <c r="AI45" s="86"/>
      <c r="AJ45" s="4" t="s">
        <v>137</v>
      </c>
      <c r="AK45" s="4"/>
      <c r="AL45" s="87"/>
      <c r="AM45" s="4" t="s">
        <v>163</v>
      </c>
      <c r="AN45" s="4"/>
      <c r="AQ45" s="105">
        <v>0.8</v>
      </c>
      <c r="AR45" s="111"/>
      <c r="AS45" s="4" t="s">
        <v>164</v>
      </c>
      <c r="AT45" s="4"/>
      <c r="AU45" s="4"/>
      <c r="AV45" s="88"/>
      <c r="AW45" s="4" t="s">
        <v>162</v>
      </c>
      <c r="AX45" s="4">
        <v>3.55</v>
      </c>
      <c r="AY45" s="4">
        <v>5</v>
      </c>
      <c r="AZ45" s="4">
        <v>4</v>
      </c>
      <c r="BA45" s="4"/>
      <c r="BB45" s="4" t="s">
        <v>147</v>
      </c>
      <c r="BC45" s="4"/>
      <c r="BD45" s="119"/>
      <c r="BE45" s="4" t="s">
        <v>108</v>
      </c>
      <c r="BF45" s="4" t="s">
        <v>5</v>
      </c>
      <c r="BG45" s="4" t="s">
        <v>5</v>
      </c>
      <c r="BH45" s="4" t="s">
        <v>5</v>
      </c>
      <c r="BI45" s="4" t="s">
        <v>5</v>
      </c>
      <c r="BJ45" s="4" t="s">
        <v>5</v>
      </c>
      <c r="BK45" s="104"/>
      <c r="BL45" s="105" t="s">
        <v>111</v>
      </c>
      <c r="BM45" s="105"/>
      <c r="BN45" s="128"/>
      <c r="BO45" s="105" t="s">
        <v>150</v>
      </c>
      <c r="BP45" s="105"/>
      <c r="BQ45" s="105">
        <v>3</v>
      </c>
      <c r="BR45" s="105" t="s">
        <v>168</v>
      </c>
      <c r="BS45" s="135"/>
      <c r="BT45" s="129" t="s">
        <v>152</v>
      </c>
    </row>
    <row r="46" spans="6:72" s="89" customFormat="1" ht="67.5" customHeight="1" x14ac:dyDescent="0.6">
      <c r="F46" s="3"/>
      <c r="G46" s="157"/>
      <c r="H46" s="81" t="str">
        <f>IF(Table4[[#This Row],[tag1]]="",CONCATENATE(T46,U46),CONCATENATE(T46,U46,"_",V46))</f>
        <v>010_lean_passive-improved-fabric-ex-shade</v>
      </c>
      <c r="I46" s="4" t="s">
        <v>165</v>
      </c>
      <c r="J46" s="4">
        <v>2019</v>
      </c>
      <c r="K46" s="4">
        <v>49.3</v>
      </c>
      <c r="L46" s="4">
        <v>50.3</v>
      </c>
      <c r="M46" s="4"/>
      <c r="N46" s="22"/>
      <c r="O46" s="191"/>
      <c r="P46" s="4"/>
      <c r="Q46" s="4">
        <v>0</v>
      </c>
      <c r="R46" s="82"/>
      <c r="S46" s="3">
        <f t="shared" si="4"/>
        <v>10</v>
      </c>
      <c r="T46" s="4" t="str">
        <f t="shared" si="1"/>
        <v>010_</v>
      </c>
      <c r="U46" s="4" t="s">
        <v>69</v>
      </c>
      <c r="V46" s="4" t="s">
        <v>161</v>
      </c>
      <c r="W46" s="83"/>
      <c r="X46" s="4"/>
      <c r="Y46" s="4"/>
      <c r="Z46" s="4" t="s">
        <v>145</v>
      </c>
      <c r="AA46" s="84"/>
      <c r="AB46" s="80" t="s">
        <v>45</v>
      </c>
      <c r="AC46" s="80">
        <v>0.23300000000000001</v>
      </c>
      <c r="AD46" s="80">
        <v>0.21</v>
      </c>
      <c r="AE46" s="85"/>
      <c r="AF46" s="4" t="s">
        <v>100</v>
      </c>
      <c r="AG46" s="4" t="s">
        <v>159</v>
      </c>
      <c r="AH46" s="4">
        <v>3</v>
      </c>
      <c r="AI46" s="86"/>
      <c r="AJ46" s="4" t="s">
        <v>137</v>
      </c>
      <c r="AK46" s="4"/>
      <c r="AL46" s="87"/>
      <c r="AM46" s="4" t="s">
        <v>171</v>
      </c>
      <c r="AN46" s="4" t="s">
        <v>178</v>
      </c>
      <c r="AO46" s="89">
        <v>0.85229999999999995</v>
      </c>
      <c r="AP46" s="89" t="s">
        <v>172</v>
      </c>
      <c r="AQ46" s="105">
        <v>0.8</v>
      </c>
      <c r="AR46" s="111"/>
      <c r="AS46" s="4" t="s">
        <v>173</v>
      </c>
      <c r="AT46" s="4">
        <v>0.89649999999999996</v>
      </c>
      <c r="AU46" s="4"/>
      <c r="AV46" s="88"/>
      <c r="AW46" s="4" t="s">
        <v>174</v>
      </c>
      <c r="AX46" s="4"/>
      <c r="AY46" s="4">
        <v>8.67</v>
      </c>
      <c r="AZ46" s="4"/>
      <c r="BA46" s="4"/>
      <c r="BB46" s="4" t="s">
        <v>175</v>
      </c>
      <c r="BC46" s="4" t="s">
        <v>170</v>
      </c>
      <c r="BD46" s="119"/>
      <c r="BE46" s="4" t="s">
        <v>108</v>
      </c>
      <c r="BF46" s="4" t="s">
        <v>5</v>
      </c>
      <c r="BG46" s="4" t="s">
        <v>5</v>
      </c>
      <c r="BH46" s="4" t="s">
        <v>5</v>
      </c>
      <c r="BI46" s="4" t="s">
        <v>5</v>
      </c>
      <c r="BJ46" s="4" t="s">
        <v>5</v>
      </c>
      <c r="BK46" s="104"/>
      <c r="BL46" s="105" t="s">
        <v>111</v>
      </c>
      <c r="BM46" s="105"/>
      <c r="BN46" s="128"/>
      <c r="BO46" s="105" t="s">
        <v>167</v>
      </c>
      <c r="BP46" s="105"/>
      <c r="BQ46" s="105">
        <v>3</v>
      </c>
      <c r="BR46" s="105" t="s">
        <v>176</v>
      </c>
      <c r="BS46" s="135"/>
      <c r="BT46" s="129" t="s">
        <v>152</v>
      </c>
    </row>
    <row r="47" spans="6:72" s="89" customFormat="1" ht="67.5" customHeight="1" x14ac:dyDescent="0.6">
      <c r="F47" s="3"/>
      <c r="G47" s="157"/>
      <c r="H47" s="81" t="str">
        <f>IF(Table4[[#This Row],[tag1]]="",CONCATENATE(T47,U47),CONCATENATE(T47,U47,"_",V47))</f>
        <v>011_lean_passive-improved-fabric-ex-shade</v>
      </c>
      <c r="I47" s="4" t="s">
        <v>165</v>
      </c>
      <c r="J47" s="4">
        <v>2019</v>
      </c>
      <c r="K47" s="4">
        <v>49.8</v>
      </c>
      <c r="L47" s="4">
        <v>50.3</v>
      </c>
      <c r="M47" s="4">
        <v>1</v>
      </c>
      <c r="N47" s="4" t="s">
        <v>130</v>
      </c>
      <c r="O47" s="191"/>
      <c r="P47" s="4"/>
      <c r="Q47" s="4">
        <v>1</v>
      </c>
      <c r="R47" s="82"/>
      <c r="S47" s="3">
        <f t="shared" si="4"/>
        <v>11</v>
      </c>
      <c r="T47" s="4" t="str">
        <f t="shared" si="1"/>
        <v>011_</v>
      </c>
      <c r="U47" s="4" t="s">
        <v>69</v>
      </c>
      <c r="V47" s="4" t="s">
        <v>161</v>
      </c>
      <c r="W47" s="83"/>
      <c r="X47" s="4"/>
      <c r="Y47" s="4"/>
      <c r="Z47" s="4" t="s">
        <v>145</v>
      </c>
      <c r="AA47" s="84"/>
      <c r="AB47" s="80" t="s">
        <v>45</v>
      </c>
      <c r="AC47" s="80">
        <v>0.23300000000000001</v>
      </c>
      <c r="AD47" s="80">
        <v>0.21</v>
      </c>
      <c r="AE47" s="85"/>
      <c r="AF47" s="4" t="s">
        <v>100</v>
      </c>
      <c r="AG47" s="4" t="s">
        <v>179</v>
      </c>
      <c r="AH47" s="4">
        <v>3</v>
      </c>
      <c r="AI47" s="86"/>
      <c r="AJ47" s="4" t="s">
        <v>137</v>
      </c>
      <c r="AK47" s="4">
        <v>0.8</v>
      </c>
      <c r="AL47" s="87"/>
      <c r="AM47" s="4" t="s">
        <v>171</v>
      </c>
      <c r="AN47" s="4" t="s">
        <v>178</v>
      </c>
      <c r="AO47" s="89">
        <v>0.85229999999999995</v>
      </c>
      <c r="AP47" s="89" t="s">
        <v>172</v>
      </c>
      <c r="AQ47" s="105">
        <v>0.8</v>
      </c>
      <c r="AR47" s="111"/>
      <c r="AS47" s="4" t="s">
        <v>173</v>
      </c>
      <c r="AT47" s="4">
        <v>0.89649999999999996</v>
      </c>
      <c r="AU47" s="4"/>
      <c r="AV47" s="88"/>
      <c r="AW47" s="4" t="s">
        <v>174</v>
      </c>
      <c r="AX47" s="4"/>
      <c r="AY47" s="4">
        <v>8.67</v>
      </c>
      <c r="AZ47" s="4"/>
      <c r="BA47" s="4"/>
      <c r="BB47" s="4" t="s">
        <v>175</v>
      </c>
      <c r="BC47" s="4" t="s">
        <v>170</v>
      </c>
      <c r="BD47" s="119"/>
      <c r="BE47" s="4" t="s">
        <v>108</v>
      </c>
      <c r="BF47" s="4" t="s">
        <v>5</v>
      </c>
      <c r="BG47" s="4" t="s">
        <v>5</v>
      </c>
      <c r="BH47" s="4" t="s">
        <v>5</v>
      </c>
      <c r="BI47" s="4" t="s">
        <v>5</v>
      </c>
      <c r="BJ47" s="4" t="s">
        <v>5</v>
      </c>
      <c r="BK47" s="104"/>
      <c r="BL47" s="105" t="s">
        <v>111</v>
      </c>
      <c r="BM47" s="105"/>
      <c r="BN47" s="128"/>
      <c r="BO47" s="105" t="s">
        <v>167</v>
      </c>
      <c r="BP47" s="105">
        <v>80</v>
      </c>
      <c r="BQ47" s="105"/>
      <c r="BR47" s="105" t="s">
        <v>176</v>
      </c>
      <c r="BS47" s="135"/>
      <c r="BT47" s="129" t="s">
        <v>152</v>
      </c>
    </row>
    <row r="48" spans="6:72" s="89" customFormat="1" ht="87.75" customHeight="1" x14ac:dyDescent="0.6">
      <c r="F48" s="3"/>
      <c r="G48" s="157"/>
      <c r="H48" s="81" t="str">
        <f>IF(Table4[[#This Row],[tag1]]="",CONCATENATE(T48,U48),CONCATENATE(T48,U48,"_",V48))</f>
        <v>012_clean_asLean</v>
      </c>
      <c r="I48" s="4" t="s">
        <v>180</v>
      </c>
      <c r="J48" s="4">
        <v>2019</v>
      </c>
      <c r="K48" s="4">
        <v>49.8</v>
      </c>
      <c r="L48" s="4">
        <v>50.3</v>
      </c>
      <c r="M48" s="4">
        <v>1</v>
      </c>
      <c r="N48" s="4" t="s">
        <v>131</v>
      </c>
      <c r="O48" s="191"/>
      <c r="P48" s="4"/>
      <c r="Q48" s="4">
        <v>1</v>
      </c>
      <c r="R48" s="82"/>
      <c r="S48" s="3">
        <f t="shared" si="4"/>
        <v>12</v>
      </c>
      <c r="T48" s="4" t="str">
        <f t="shared" si="1"/>
        <v>012_</v>
      </c>
      <c r="U48" s="4" t="s">
        <v>70</v>
      </c>
      <c r="V48" s="4" t="s">
        <v>186</v>
      </c>
      <c r="W48" s="83"/>
      <c r="X48" s="4"/>
      <c r="Y48" s="4"/>
      <c r="Z48" s="4" t="s">
        <v>145</v>
      </c>
      <c r="AA48" s="84"/>
      <c r="AB48" s="80" t="s">
        <v>45</v>
      </c>
      <c r="AC48" s="80">
        <v>0.23300000000000001</v>
      </c>
      <c r="AD48" s="80">
        <v>0.21</v>
      </c>
      <c r="AE48" s="85"/>
      <c r="AF48" s="4" t="s">
        <v>100</v>
      </c>
      <c r="AG48" s="4" t="s">
        <v>180</v>
      </c>
      <c r="AH48" s="4">
        <v>3</v>
      </c>
      <c r="AI48" s="86"/>
      <c r="AJ48" s="4" t="s">
        <v>180</v>
      </c>
      <c r="AK48" s="4">
        <v>0.8</v>
      </c>
      <c r="AL48" s="87"/>
      <c r="AM48" s="4" t="s">
        <v>180</v>
      </c>
      <c r="AN48" s="4" t="s">
        <v>180</v>
      </c>
      <c r="AO48" s="89">
        <v>0.85229999999999995</v>
      </c>
      <c r="AP48" s="4" t="s">
        <v>180</v>
      </c>
      <c r="AQ48" s="105">
        <v>0.8</v>
      </c>
      <c r="AR48" s="111"/>
      <c r="AS48" s="4" t="s">
        <v>180</v>
      </c>
      <c r="AT48" s="4" t="s">
        <v>180</v>
      </c>
      <c r="AU48" s="4"/>
      <c r="AV48" s="88"/>
      <c r="AW48" s="4" t="s">
        <v>180</v>
      </c>
      <c r="AX48" s="4"/>
      <c r="AY48" s="4">
        <v>8.67</v>
      </c>
      <c r="AZ48" s="4"/>
      <c r="BA48" s="4"/>
      <c r="BB48" s="4" t="s">
        <v>175</v>
      </c>
      <c r="BC48" s="4" t="s">
        <v>170</v>
      </c>
      <c r="BD48" s="119"/>
      <c r="BE48" s="4" t="s">
        <v>180</v>
      </c>
      <c r="BF48" s="4" t="s">
        <v>5</v>
      </c>
      <c r="BG48" s="4" t="s">
        <v>5</v>
      </c>
      <c r="BH48" s="4" t="s">
        <v>5</v>
      </c>
      <c r="BI48" s="4" t="s">
        <v>5</v>
      </c>
      <c r="BJ48" s="4" t="s">
        <v>5</v>
      </c>
      <c r="BK48" s="104"/>
      <c r="BL48" s="4" t="s">
        <v>180</v>
      </c>
      <c r="BM48" s="105"/>
      <c r="BN48" s="128"/>
      <c r="BO48" s="4" t="s">
        <v>180</v>
      </c>
      <c r="BP48" s="105">
        <v>80</v>
      </c>
      <c r="BQ48" s="105"/>
      <c r="BR48" s="4" t="s">
        <v>180</v>
      </c>
      <c r="BS48" s="135"/>
      <c r="BT48" s="4" t="s">
        <v>180</v>
      </c>
    </row>
    <row r="49" spans="6:72" s="89" customFormat="1" ht="82.5" customHeight="1" x14ac:dyDescent="0.6">
      <c r="F49" s="3"/>
      <c r="G49" s="157"/>
      <c r="H49" s="81" t="str">
        <f>IF(Table4[[#This Row],[tag1]]="",CONCATENATE(T49,U49),CONCATENATE(T49,U49,"_",V49))</f>
        <v>013_green_asLean-pv-heatpumps</v>
      </c>
      <c r="I49" s="4" t="s">
        <v>188</v>
      </c>
      <c r="J49" s="4">
        <v>2019</v>
      </c>
      <c r="K49" s="4">
        <v>51.7</v>
      </c>
      <c r="L49" s="4">
        <v>50.3</v>
      </c>
      <c r="M49" s="4"/>
      <c r="N49" s="4"/>
      <c r="O49" s="191"/>
      <c r="P49" s="4"/>
      <c r="Q49" s="4">
        <v>0</v>
      </c>
      <c r="R49" s="82"/>
      <c r="S49" s="3">
        <f t="shared" si="4"/>
        <v>13</v>
      </c>
      <c r="T49" s="4" t="str">
        <f t="shared" si="1"/>
        <v>013_</v>
      </c>
      <c r="U49" s="4" t="s">
        <v>71</v>
      </c>
      <c r="V49" s="4" t="s">
        <v>185</v>
      </c>
      <c r="W49" s="83"/>
      <c r="X49" s="4"/>
      <c r="Y49" s="4"/>
      <c r="Z49" s="4" t="s">
        <v>145</v>
      </c>
      <c r="AA49" s="84"/>
      <c r="AB49" s="80" t="s">
        <v>45</v>
      </c>
      <c r="AC49" s="80">
        <v>0.23300000000000001</v>
      </c>
      <c r="AD49" s="80">
        <v>0.21</v>
      </c>
      <c r="AE49" s="85"/>
      <c r="AF49" s="4" t="s">
        <v>100</v>
      </c>
      <c r="AG49" s="4" t="s">
        <v>159</v>
      </c>
      <c r="AH49" s="4">
        <v>3</v>
      </c>
      <c r="AI49" s="86"/>
      <c r="AJ49" s="4" t="s">
        <v>137</v>
      </c>
      <c r="AK49" s="4">
        <v>0.8</v>
      </c>
      <c r="AL49" s="87"/>
      <c r="AM49" s="4" t="s">
        <v>182</v>
      </c>
      <c r="AN49" s="4" t="s">
        <v>178</v>
      </c>
      <c r="AO49" s="89">
        <v>3.15</v>
      </c>
      <c r="AP49" s="89" t="s">
        <v>181</v>
      </c>
      <c r="AQ49" s="105">
        <v>0.8</v>
      </c>
      <c r="AR49" s="111"/>
      <c r="AS49" s="4" t="s">
        <v>183</v>
      </c>
      <c r="AT49" s="4">
        <v>1.96</v>
      </c>
      <c r="AU49" s="4" t="s">
        <v>184</v>
      </c>
      <c r="AV49" s="88"/>
      <c r="AW49" s="4" t="s">
        <v>174</v>
      </c>
      <c r="AX49" s="4"/>
      <c r="AY49" s="4">
        <v>8.67</v>
      </c>
      <c r="AZ49" s="4"/>
      <c r="BA49" s="4"/>
      <c r="BB49" s="4" t="s">
        <v>175</v>
      </c>
      <c r="BC49" s="4" t="s">
        <v>170</v>
      </c>
      <c r="BD49" s="119"/>
      <c r="BE49" s="4" t="s">
        <v>187</v>
      </c>
      <c r="BF49" s="4">
        <v>0.19</v>
      </c>
      <c r="BG49" s="4" t="s">
        <v>5</v>
      </c>
      <c r="BH49" s="4">
        <v>180</v>
      </c>
      <c r="BI49" s="4">
        <v>1</v>
      </c>
      <c r="BJ49" s="4">
        <v>156</v>
      </c>
      <c r="BK49" s="104"/>
      <c r="BL49" s="105" t="s">
        <v>111</v>
      </c>
      <c r="BM49" s="105"/>
      <c r="BN49" s="128"/>
      <c r="BO49" s="105" t="s">
        <v>167</v>
      </c>
      <c r="BP49" s="105">
        <v>80</v>
      </c>
      <c r="BQ49" s="105"/>
      <c r="BR49" s="105" t="s">
        <v>176</v>
      </c>
      <c r="BS49" s="135"/>
      <c r="BT49" s="129" t="s">
        <v>152</v>
      </c>
    </row>
    <row r="50" spans="6:72" s="89" customFormat="1" ht="98.25" customHeight="1" x14ac:dyDescent="0.6">
      <c r="F50" s="3"/>
      <c r="G50" s="157"/>
      <c r="H50" s="81" t="str">
        <f>IF(Table4[[#This Row],[tag1]]="",CONCATENATE(T50,U50),CONCATENATE(T50,U50,"_",V50))</f>
        <v>014_green_asLean-pv-heatpumps</v>
      </c>
      <c r="I50" s="4" t="s">
        <v>188</v>
      </c>
      <c r="J50" s="4">
        <v>2019</v>
      </c>
      <c r="K50" s="4">
        <v>51.7</v>
      </c>
      <c r="L50" s="4">
        <v>50.3</v>
      </c>
      <c r="M50" s="4">
        <v>1</v>
      </c>
      <c r="N50" s="4" t="s">
        <v>132</v>
      </c>
      <c r="O50" s="191"/>
      <c r="P50" s="4">
        <v>1</v>
      </c>
      <c r="Q50" s="4">
        <v>1</v>
      </c>
      <c r="R50" s="82"/>
      <c r="S50" s="3">
        <f t="shared" si="4"/>
        <v>14</v>
      </c>
      <c r="T50" s="4" t="str">
        <f t="shared" si="1"/>
        <v>014_</v>
      </c>
      <c r="U50" s="4" t="s">
        <v>71</v>
      </c>
      <c r="V50" s="4" t="s">
        <v>185</v>
      </c>
      <c r="W50" s="83"/>
      <c r="X50" s="4"/>
      <c r="Y50" s="4"/>
      <c r="Z50" s="4" t="s">
        <v>145</v>
      </c>
      <c r="AA50" s="84"/>
      <c r="AB50" s="80" t="s">
        <v>45</v>
      </c>
      <c r="AC50" s="80">
        <v>0.23300000000000001</v>
      </c>
      <c r="AD50" s="80">
        <v>0.21</v>
      </c>
      <c r="AE50" s="85"/>
      <c r="AF50" s="4" t="s">
        <v>100</v>
      </c>
      <c r="AG50" s="4" t="s">
        <v>159</v>
      </c>
      <c r="AH50" s="4">
        <v>3</v>
      </c>
      <c r="AI50" s="86"/>
      <c r="AJ50" s="4" t="s">
        <v>137</v>
      </c>
      <c r="AK50" s="4">
        <v>0.8</v>
      </c>
      <c r="AL50" s="87"/>
      <c r="AM50" s="4" t="s">
        <v>182</v>
      </c>
      <c r="AN50" s="4" t="s">
        <v>178</v>
      </c>
      <c r="AO50" s="89">
        <v>3.15</v>
      </c>
      <c r="AP50" s="89" t="s">
        <v>181</v>
      </c>
      <c r="AQ50" s="105">
        <v>0.8</v>
      </c>
      <c r="AR50" s="111"/>
      <c r="AS50" s="4" t="s">
        <v>183</v>
      </c>
      <c r="AT50" s="4">
        <v>1.96</v>
      </c>
      <c r="AU50" s="4" t="s">
        <v>184</v>
      </c>
      <c r="AV50" s="88"/>
      <c r="AW50" s="4" t="s">
        <v>174</v>
      </c>
      <c r="AX50" s="4"/>
      <c r="AY50" s="4">
        <v>8.67</v>
      </c>
      <c r="AZ50" s="4"/>
      <c r="BA50" s="4"/>
      <c r="BB50" s="4" t="s">
        <v>210</v>
      </c>
      <c r="BC50" s="4" t="s">
        <v>170</v>
      </c>
      <c r="BD50" s="119"/>
      <c r="BE50" s="4" t="s">
        <v>187</v>
      </c>
      <c r="BF50" s="4">
        <v>0.19</v>
      </c>
      <c r="BG50" s="4" t="s">
        <v>5</v>
      </c>
      <c r="BH50" s="4">
        <v>180</v>
      </c>
      <c r="BI50" s="4">
        <v>1</v>
      </c>
      <c r="BJ50" s="4">
        <v>156</v>
      </c>
      <c r="BK50" s="104"/>
      <c r="BL50" s="105" t="s">
        <v>111</v>
      </c>
      <c r="BM50" s="105"/>
      <c r="BN50" s="128"/>
      <c r="BO50" s="105" t="s">
        <v>167</v>
      </c>
      <c r="BP50" s="105">
        <v>80</v>
      </c>
      <c r="BQ50" s="105"/>
      <c r="BR50" s="105" t="s">
        <v>176</v>
      </c>
      <c r="BS50" s="135"/>
      <c r="BT50" s="129" t="s">
        <v>152</v>
      </c>
    </row>
    <row r="51" spans="6:72" x14ac:dyDescent="0.6">
      <c r="G51" s="157"/>
      <c r="H51" s="192" t="str">
        <f>IF(Table4[[#This Row],[tag1]]="",CONCATENATE(T51,U51),CONCATENATE(T51,U51,"_",V51))</f>
        <v>015_</v>
      </c>
      <c r="I51" s="142"/>
      <c r="J51" s="137"/>
      <c r="K51" s="137"/>
      <c r="L51" s="137"/>
      <c r="M51" s="4"/>
      <c r="P51" s="137"/>
      <c r="Q51" s="137"/>
      <c r="R51" s="143"/>
      <c r="S51" s="89">
        <f t="shared" ref="S51:S55" si="5">S50+1</f>
        <v>15</v>
      </c>
      <c r="T51" s="137" t="str">
        <f t="shared" si="1"/>
        <v>015_</v>
      </c>
      <c r="U51" s="137"/>
      <c r="V51" s="137"/>
      <c r="W51" s="144"/>
      <c r="X51" s="137"/>
      <c r="Y51" s="142"/>
      <c r="Z51" s="137"/>
      <c r="AA51" s="145"/>
      <c r="AB51" s="137"/>
      <c r="AC51" s="137"/>
      <c r="AD51" s="137"/>
      <c r="AE51" s="146"/>
      <c r="AF51" s="137"/>
      <c r="AG51" s="137"/>
      <c r="AH51" s="137"/>
      <c r="AI51" s="147"/>
      <c r="AJ51" s="137"/>
      <c r="AK51" s="137"/>
      <c r="AL51" s="148"/>
      <c r="AM51" s="137"/>
      <c r="AN51" s="137"/>
      <c r="AO51" s="137"/>
      <c r="AR51" s="149"/>
      <c r="AS51" s="137"/>
      <c r="AT51" s="137"/>
      <c r="AU51" s="137"/>
      <c r="AV51" s="150"/>
      <c r="AW51" s="137"/>
      <c r="AX51" s="137"/>
      <c r="AY51" s="137"/>
      <c r="AZ51" s="137"/>
      <c r="BA51" s="137"/>
      <c r="BB51" s="137"/>
      <c r="BC51" s="137"/>
      <c r="BD51" s="151"/>
      <c r="BE51" s="105"/>
      <c r="BF51" s="105"/>
      <c r="BG51" s="105"/>
      <c r="BH51" s="105"/>
      <c r="BI51" s="105"/>
      <c r="BJ51" s="105"/>
      <c r="BK51" s="104"/>
      <c r="BL51" s="105"/>
      <c r="BM51" s="105"/>
      <c r="BN51" s="128"/>
      <c r="BO51" s="105"/>
      <c r="BP51" s="105"/>
      <c r="BQ51" s="105"/>
      <c r="BR51" s="105"/>
      <c r="BS51" s="141"/>
      <c r="BT51" s="105"/>
    </row>
    <row r="52" spans="6:72" x14ac:dyDescent="0.6">
      <c r="G52" s="157"/>
      <c r="H52" s="192" t="str">
        <f>IF(Table4[[#This Row],[tag1]]="",CONCATENATE(T52,U52),CONCATENATE(T52,U52,"_",V52))</f>
        <v>016_</v>
      </c>
      <c r="I52" s="142"/>
      <c r="J52" s="137"/>
      <c r="K52" s="137"/>
      <c r="L52" s="137"/>
      <c r="M52" s="4"/>
      <c r="P52" s="137"/>
      <c r="Q52" s="137"/>
      <c r="R52" s="143"/>
      <c r="S52" s="89">
        <f t="shared" si="5"/>
        <v>16</v>
      </c>
      <c r="T52" s="137" t="str">
        <f t="shared" si="1"/>
        <v>016_</v>
      </c>
      <c r="U52" s="137"/>
      <c r="V52" s="137"/>
      <c r="W52" s="144"/>
      <c r="X52" s="137"/>
      <c r="Y52" s="142"/>
      <c r="Z52" s="137"/>
      <c r="AA52" s="145"/>
      <c r="AB52" s="137"/>
      <c r="AC52" s="137"/>
      <c r="AD52" s="137"/>
      <c r="AE52" s="146"/>
      <c r="AF52" s="137"/>
      <c r="AG52" s="137"/>
      <c r="AH52" s="137"/>
      <c r="AI52" s="147"/>
      <c r="AJ52" s="137"/>
      <c r="AK52" s="137"/>
      <c r="AL52" s="148"/>
      <c r="AM52" s="137"/>
      <c r="AN52" s="137"/>
      <c r="AO52" s="137"/>
      <c r="AR52" s="149"/>
      <c r="AS52" s="137"/>
      <c r="AT52" s="137"/>
      <c r="AU52" s="137"/>
      <c r="AV52" s="150"/>
      <c r="AW52" s="137"/>
      <c r="AX52" s="137"/>
      <c r="AY52" s="137"/>
      <c r="AZ52" s="137"/>
      <c r="BA52" s="137"/>
      <c r="BB52" s="137"/>
      <c r="BC52" s="137"/>
      <c r="BD52" s="151"/>
      <c r="BE52" s="105"/>
      <c r="BF52" s="105"/>
      <c r="BG52" s="105"/>
      <c r="BH52" s="105"/>
      <c r="BI52" s="105"/>
      <c r="BJ52" s="105"/>
      <c r="BK52" s="104"/>
      <c r="BL52" s="105"/>
      <c r="BM52" s="105"/>
      <c r="BN52" s="128"/>
      <c r="BO52" s="105"/>
      <c r="BP52" s="105"/>
      <c r="BQ52" s="105"/>
      <c r="BR52" s="105"/>
      <c r="BS52" s="141"/>
      <c r="BT52" s="105"/>
    </row>
    <row r="53" spans="6:72" x14ac:dyDescent="0.6">
      <c r="G53" s="157"/>
      <c r="H53" s="192" t="str">
        <f>IF(Table4[[#This Row],[tag1]]="",CONCATENATE(T53,U53),CONCATENATE(T53,U53,"_",V53))</f>
        <v>017_</v>
      </c>
      <c r="I53" s="142"/>
      <c r="J53" s="137"/>
      <c r="K53" s="137"/>
      <c r="L53" s="137"/>
      <c r="M53" s="4"/>
      <c r="P53" s="137"/>
      <c r="Q53" s="137"/>
      <c r="R53" s="143"/>
      <c r="S53" s="89">
        <f t="shared" si="5"/>
        <v>17</v>
      </c>
      <c r="T53" s="137" t="str">
        <f t="shared" si="1"/>
        <v>017_</v>
      </c>
      <c r="U53" s="137"/>
      <c r="V53" s="137"/>
      <c r="W53" s="144"/>
      <c r="X53" s="137"/>
      <c r="Y53" s="142"/>
      <c r="Z53" s="137"/>
      <c r="AA53" s="145"/>
      <c r="AB53" s="137"/>
      <c r="AC53" s="137"/>
      <c r="AD53" s="137"/>
      <c r="AE53" s="146"/>
      <c r="AF53" s="137"/>
      <c r="AG53" s="137"/>
      <c r="AH53" s="137"/>
      <c r="AI53" s="147"/>
      <c r="AJ53" s="137"/>
      <c r="AK53" s="137"/>
      <c r="AL53" s="148"/>
      <c r="AM53" s="137"/>
      <c r="AN53" s="137"/>
      <c r="AO53" s="137"/>
      <c r="AR53" s="149"/>
      <c r="AS53" s="137"/>
      <c r="AT53" s="137"/>
      <c r="AU53" s="137"/>
      <c r="AV53" s="150"/>
      <c r="AW53" s="137"/>
      <c r="AX53" s="137"/>
      <c r="AY53" s="137"/>
      <c r="AZ53" s="137"/>
      <c r="BA53" s="137"/>
      <c r="BB53" s="137"/>
      <c r="BC53" s="137"/>
      <c r="BD53" s="151"/>
      <c r="BE53" s="105"/>
      <c r="BF53" s="105"/>
      <c r="BG53" s="105"/>
      <c r="BH53" s="105"/>
      <c r="BI53" s="105"/>
      <c r="BJ53" s="105"/>
      <c r="BK53" s="104"/>
      <c r="BL53" s="105"/>
      <c r="BM53" s="105"/>
      <c r="BN53" s="128"/>
      <c r="BO53" s="105"/>
      <c r="BP53" s="105"/>
      <c r="BQ53" s="105"/>
      <c r="BR53" s="105"/>
      <c r="BS53" s="141"/>
      <c r="BT53" s="105"/>
    </row>
    <row r="54" spans="6:72" x14ac:dyDescent="0.6">
      <c r="G54" s="157"/>
      <c r="H54" s="192" t="str">
        <f>IF(Table4[[#This Row],[tag1]]="",CONCATENATE(T54,U54),CONCATENATE(T54,U54,"_",V54))</f>
        <v>018_</v>
      </c>
      <c r="I54" s="142"/>
      <c r="J54" s="137"/>
      <c r="K54" s="137"/>
      <c r="L54" s="137"/>
      <c r="M54" s="4"/>
      <c r="P54" s="137"/>
      <c r="Q54" s="137"/>
      <c r="R54" s="143"/>
      <c r="S54" s="89">
        <f t="shared" si="5"/>
        <v>18</v>
      </c>
      <c r="T54" s="137" t="str">
        <f t="shared" si="1"/>
        <v>018_</v>
      </c>
      <c r="U54" s="137"/>
      <c r="V54" s="137"/>
      <c r="W54" s="144"/>
      <c r="X54" s="137"/>
      <c r="Y54" s="142"/>
      <c r="Z54" s="137"/>
      <c r="AA54" s="145"/>
      <c r="AB54" s="137"/>
      <c r="AC54" s="137"/>
      <c r="AD54" s="137"/>
      <c r="AE54" s="146"/>
      <c r="AF54" s="137"/>
      <c r="AG54" s="137"/>
      <c r="AH54" s="137"/>
      <c r="AI54" s="147"/>
      <c r="AJ54" s="137"/>
      <c r="AK54" s="137"/>
      <c r="AL54" s="148"/>
      <c r="AM54" s="137"/>
      <c r="AN54" s="137"/>
      <c r="AO54" s="137"/>
      <c r="AR54" s="149"/>
      <c r="AS54" s="137"/>
      <c r="AT54" s="137"/>
      <c r="AU54" s="137"/>
      <c r="AV54" s="150"/>
      <c r="AW54" s="137"/>
      <c r="AX54" s="137"/>
      <c r="AY54" s="137"/>
      <c r="AZ54" s="137"/>
      <c r="BA54" s="137"/>
      <c r="BB54" s="137"/>
      <c r="BC54" s="137"/>
      <c r="BD54" s="151"/>
      <c r="BE54" s="105"/>
      <c r="BF54" s="105"/>
      <c r="BG54" s="105"/>
      <c r="BH54" s="105"/>
      <c r="BI54" s="105"/>
      <c r="BJ54" s="105"/>
      <c r="BK54" s="104"/>
      <c r="BL54" s="105"/>
      <c r="BM54" s="105"/>
      <c r="BN54" s="128"/>
      <c r="BO54" s="105"/>
      <c r="BP54" s="105"/>
      <c r="BQ54" s="105"/>
      <c r="BR54" s="105"/>
      <c r="BS54" s="141"/>
      <c r="BT54" s="105"/>
    </row>
    <row r="55" spans="6:72" x14ac:dyDescent="0.6">
      <c r="G55" s="157"/>
      <c r="H55" s="192" t="str">
        <f>IF(Table4[[#This Row],[tag1]]="",CONCATENATE(T55,U55),CONCATENATE(T55,U55,"_",V55))</f>
        <v>019_</v>
      </c>
      <c r="I55" s="142"/>
      <c r="J55" s="137"/>
      <c r="K55" s="137"/>
      <c r="L55" s="137"/>
      <c r="M55" s="4"/>
      <c r="P55" s="137"/>
      <c r="Q55" s="137"/>
      <c r="R55" s="143"/>
      <c r="S55" s="89">
        <f t="shared" si="5"/>
        <v>19</v>
      </c>
      <c r="T55" s="137" t="str">
        <f t="shared" si="1"/>
        <v>019_</v>
      </c>
      <c r="U55" s="137"/>
      <c r="V55" s="137"/>
      <c r="W55" s="144"/>
      <c r="X55" s="137"/>
      <c r="Y55" s="142"/>
      <c r="Z55" s="137"/>
      <c r="AA55" s="145"/>
      <c r="AB55" s="137"/>
      <c r="AC55" s="137"/>
      <c r="AD55" s="137"/>
      <c r="AE55" s="146"/>
      <c r="AF55" s="137"/>
      <c r="AG55" s="137"/>
      <c r="AH55" s="137"/>
      <c r="AI55" s="147"/>
      <c r="AJ55" s="137"/>
      <c r="AK55" s="137"/>
      <c r="AL55" s="148"/>
      <c r="AM55" s="137"/>
      <c r="AN55" s="137"/>
      <c r="AO55" s="137"/>
      <c r="AR55" s="149"/>
      <c r="AS55" s="137"/>
      <c r="AT55" s="137"/>
      <c r="AU55" s="137"/>
      <c r="AV55" s="150"/>
      <c r="AW55" s="137"/>
      <c r="AX55" s="137"/>
      <c r="AY55" s="137"/>
      <c r="AZ55" s="137"/>
      <c r="BA55" s="137"/>
      <c r="BB55" s="137"/>
      <c r="BC55" s="137"/>
      <c r="BD55" s="151"/>
      <c r="BE55" s="105"/>
      <c r="BF55" s="105"/>
      <c r="BG55" s="105"/>
      <c r="BH55" s="105"/>
      <c r="BI55" s="105"/>
      <c r="BJ55" s="105"/>
      <c r="BK55" s="104"/>
      <c r="BL55" s="105"/>
      <c r="BM55" s="105"/>
      <c r="BN55" s="128"/>
      <c r="BO55" s="105"/>
      <c r="BP55" s="105"/>
      <c r="BQ55" s="105"/>
      <c r="BR55" s="105"/>
      <c r="BS55" s="141"/>
      <c r="BT55" s="105"/>
    </row>
  </sheetData>
  <phoneticPr fontId="27" type="noConversion"/>
  <conditionalFormatting sqref="AW36:BJ36 BD37:BD38 BF37:BJ37 AV36:AV38 AE36:AN36 AR36:AU39 AV39:BC39 AE37:AI39 AR40:AV41 AL37:AN41 T40:Y40 T36:AA39 AE42:AN43 AR42:BJ43 AR44:AV47 BA44:BJ47 AH44:AN47 AE44:AF49 AR48 AH48:AI48 AU48:AV48 BF48:BJ48 AL48 AR49:AV50 U42:Y50 AA40:AA50 AY44:AY50 BA48:BD50 AH49:AJ50 AL49:AN50 P36:R50">
    <cfRule type="expression" dxfId="177" priority="204">
      <formula>P$33=1</formula>
    </cfRule>
  </conditionalFormatting>
  <conditionalFormatting sqref="AB36:AD36">
    <cfRule type="expression" dxfId="176" priority="157">
      <formula>AB$33=1</formula>
    </cfRule>
  </conditionalFormatting>
  <conditionalFormatting sqref="BF38:BJ38">
    <cfRule type="expression" dxfId="175" priority="141">
      <formula>BF$33=1</formula>
    </cfRule>
  </conditionalFormatting>
  <conditionalFormatting sqref="AB37:AD38">
    <cfRule type="expression" dxfId="174" priority="130">
      <formula>AB$33=1</formula>
    </cfRule>
  </conditionalFormatting>
  <conditionalFormatting sqref="AW37:BC38">
    <cfRule type="expression" dxfId="173" priority="129">
      <formula>AW$33=1</formula>
    </cfRule>
  </conditionalFormatting>
  <conditionalFormatting sqref="BD39">
    <cfRule type="expression" dxfId="172" priority="128">
      <formula>BD$33=1</formula>
    </cfRule>
  </conditionalFormatting>
  <conditionalFormatting sqref="BF39:BJ39">
    <cfRule type="expression" dxfId="171" priority="126">
      <formula>BF$33=1</formula>
    </cfRule>
  </conditionalFormatting>
  <conditionalFormatting sqref="AB39:AD39">
    <cfRule type="expression" dxfId="170" priority="125">
      <formula>AB$33=1</formula>
    </cfRule>
  </conditionalFormatting>
  <conditionalFormatting sqref="BE37:BE38">
    <cfRule type="expression" dxfId="169" priority="123">
      <formula>BE$33=1</formula>
    </cfRule>
  </conditionalFormatting>
  <conditionalFormatting sqref="BE39">
    <cfRule type="expression" dxfId="168" priority="121">
      <formula>BE$33=1</formula>
    </cfRule>
  </conditionalFormatting>
  <conditionalFormatting sqref="BE40">
    <cfRule type="expression" dxfId="167" priority="113">
      <formula>BE$33=1</formula>
    </cfRule>
  </conditionalFormatting>
  <conditionalFormatting sqref="AE40:AI40">
    <cfRule type="expression" dxfId="166" priority="120">
      <formula>AE$33=1</formula>
    </cfRule>
  </conditionalFormatting>
  <conditionalFormatting sqref="BD40">
    <cfRule type="expression" dxfId="165" priority="119">
      <formula>BD$33=1</formula>
    </cfRule>
  </conditionalFormatting>
  <conditionalFormatting sqref="BF40:BJ40">
    <cfRule type="expression" dxfId="164" priority="117">
      <formula>BF$33=1</formula>
    </cfRule>
  </conditionalFormatting>
  <conditionalFormatting sqref="AB40:AD40">
    <cfRule type="expression" dxfId="163" priority="116">
      <formula>AB$33=1</formula>
    </cfRule>
  </conditionalFormatting>
  <conditionalFormatting sqref="AW40">
    <cfRule type="expression" dxfId="162" priority="115">
      <formula>AW$33=1</formula>
    </cfRule>
  </conditionalFormatting>
  <conditionalFormatting sqref="AY40">
    <cfRule type="expression" dxfId="161" priority="111">
      <formula>AY$33=1</formula>
    </cfRule>
  </conditionalFormatting>
  <conditionalFormatting sqref="AX40">
    <cfRule type="expression" dxfId="160" priority="112">
      <formula>AX$33=1</formula>
    </cfRule>
  </conditionalFormatting>
  <conditionalFormatting sqref="AZ40">
    <cfRule type="expression" dxfId="159" priority="110">
      <formula>AZ$33=1</formula>
    </cfRule>
  </conditionalFormatting>
  <conditionalFormatting sqref="BA40:BC40">
    <cfRule type="expression" dxfId="158" priority="109">
      <formula>BA$33=1</formula>
    </cfRule>
  </conditionalFormatting>
  <conditionalFormatting sqref="T41:Y41">
    <cfRule type="expression" dxfId="157" priority="108">
      <formula>T$33=1</formula>
    </cfRule>
  </conditionalFormatting>
  <conditionalFormatting sqref="BE41">
    <cfRule type="expression" dxfId="156" priority="101">
      <formula>BE$33=1</formula>
    </cfRule>
  </conditionalFormatting>
  <conditionalFormatting sqref="AE41:AI41">
    <cfRule type="expression" dxfId="155" priority="107">
      <formula>AE$33=1</formula>
    </cfRule>
  </conditionalFormatting>
  <conditionalFormatting sqref="BD41">
    <cfRule type="expression" dxfId="154" priority="106">
      <formula>BD$33=1</formula>
    </cfRule>
  </conditionalFormatting>
  <conditionalFormatting sqref="BF41:BJ41">
    <cfRule type="expression" dxfId="153" priority="104">
      <formula>BF$33=1</formula>
    </cfRule>
  </conditionalFormatting>
  <conditionalFormatting sqref="AB41:AD41">
    <cfRule type="expression" dxfId="152" priority="103">
      <formula>AB$33=1</formula>
    </cfRule>
  </conditionalFormatting>
  <conditionalFormatting sqref="AW41">
    <cfRule type="expression" dxfId="151" priority="102">
      <formula>AW$33=1</formula>
    </cfRule>
  </conditionalFormatting>
  <conditionalFormatting sqref="AY41">
    <cfRule type="expression" dxfId="150" priority="99">
      <formula>AY$33=1</formula>
    </cfRule>
  </conditionalFormatting>
  <conditionalFormatting sqref="AX41">
    <cfRule type="expression" dxfId="149" priority="100">
      <formula>AX$33=1</formula>
    </cfRule>
  </conditionalFormatting>
  <conditionalFormatting sqref="AZ41">
    <cfRule type="expression" dxfId="148" priority="98">
      <formula>AZ$33=1</formula>
    </cfRule>
  </conditionalFormatting>
  <conditionalFormatting sqref="BA41:BC41">
    <cfRule type="expression" dxfId="147" priority="97">
      <formula>BA$33=1</formula>
    </cfRule>
  </conditionalFormatting>
  <conditionalFormatting sqref="AJ37:AK41">
    <cfRule type="expression" dxfId="146" priority="96">
      <formula>AJ$33=1</formula>
    </cfRule>
  </conditionalFormatting>
  <conditionalFormatting sqref="T42">
    <cfRule type="expression" dxfId="145" priority="93">
      <formula>T$33=1</formula>
    </cfRule>
  </conditionalFormatting>
  <conditionalFormatting sqref="Z40:Z42">
    <cfRule type="expression" dxfId="144" priority="92">
      <formula>Z$33=1</formula>
    </cfRule>
  </conditionalFormatting>
  <conditionalFormatting sqref="T43">
    <cfRule type="expression" dxfId="143" priority="89">
      <formula>T$33=1</formula>
    </cfRule>
  </conditionalFormatting>
  <conditionalFormatting sqref="Z43">
    <cfRule type="expression" dxfId="142" priority="88">
      <formula>Z$33=1</formula>
    </cfRule>
  </conditionalFormatting>
  <conditionalFormatting sqref="T44">
    <cfRule type="expression" dxfId="141" priority="85">
      <formula>T$33=1</formula>
    </cfRule>
  </conditionalFormatting>
  <conditionalFormatting sqref="Z44">
    <cfRule type="expression" dxfId="140" priority="84">
      <formula>Z$33=1</formula>
    </cfRule>
  </conditionalFormatting>
  <conditionalFormatting sqref="AB42:AD44">
    <cfRule type="expression" dxfId="139" priority="83">
      <formula>AB$33=1</formula>
    </cfRule>
  </conditionalFormatting>
  <conditionalFormatting sqref="AX44">
    <cfRule type="expression" dxfId="138" priority="82">
      <formula>AX$33=1</formula>
    </cfRule>
  </conditionalFormatting>
  <conditionalFormatting sqref="AW44">
    <cfRule type="expression" dxfId="137" priority="80">
      <formula>AW$33=1</formula>
    </cfRule>
  </conditionalFormatting>
  <conditionalFormatting sqref="AZ44">
    <cfRule type="expression" dxfId="136" priority="79">
      <formula>AZ$33=1</formula>
    </cfRule>
  </conditionalFormatting>
  <conditionalFormatting sqref="AG44">
    <cfRule type="expression" dxfId="135" priority="77">
      <formula>AG$33=1</formula>
    </cfRule>
  </conditionalFormatting>
  <conditionalFormatting sqref="T45">
    <cfRule type="expression" dxfId="134" priority="75">
      <formula>T$33=1</formula>
    </cfRule>
  </conditionalFormatting>
  <conditionalFormatting sqref="Z45">
    <cfRule type="expression" dxfId="133" priority="74">
      <formula>Z$33=1</formula>
    </cfRule>
  </conditionalFormatting>
  <conditionalFormatting sqref="AB45:AD45">
    <cfRule type="expression" dxfId="132" priority="73">
      <formula>AB$33=1</formula>
    </cfRule>
  </conditionalFormatting>
  <conditionalFormatting sqref="AX45">
    <cfRule type="expression" dxfId="131" priority="72">
      <formula>AX$33=1</formula>
    </cfRule>
  </conditionalFormatting>
  <conditionalFormatting sqref="AW45">
    <cfRule type="expression" dxfId="130" priority="71">
      <formula>AW$33=1</formula>
    </cfRule>
  </conditionalFormatting>
  <conditionalFormatting sqref="AZ45">
    <cfRule type="expression" dxfId="129" priority="70">
      <formula>AZ$33=1</formula>
    </cfRule>
  </conditionalFormatting>
  <conditionalFormatting sqref="AG45">
    <cfRule type="expression" dxfId="128" priority="69">
      <formula>AG$33=1</formula>
    </cfRule>
  </conditionalFormatting>
  <conditionalFormatting sqref="T46">
    <cfRule type="expression" dxfId="127" priority="40">
      <formula>T$33=1</formula>
    </cfRule>
  </conditionalFormatting>
  <conditionalFormatting sqref="Z49">
    <cfRule type="expression" dxfId="126" priority="47">
      <formula>Z$33=1</formula>
    </cfRule>
  </conditionalFormatting>
  <conditionalFormatting sqref="AB49:AD49">
    <cfRule type="expression" dxfId="125" priority="46">
      <formula>AB$33=1</formula>
    </cfRule>
  </conditionalFormatting>
  <conditionalFormatting sqref="AX49">
    <cfRule type="expression" dxfId="124" priority="45">
      <formula>AX$33=1</formula>
    </cfRule>
  </conditionalFormatting>
  <conditionalFormatting sqref="AW49">
    <cfRule type="expression" dxfId="123" priority="44">
      <formula>AW$33=1</formula>
    </cfRule>
  </conditionalFormatting>
  <conditionalFormatting sqref="AZ49">
    <cfRule type="expression" dxfId="122" priority="43">
      <formula>AZ$33=1</formula>
    </cfRule>
  </conditionalFormatting>
  <conditionalFormatting sqref="AG49">
    <cfRule type="expression" dxfId="121" priority="42">
      <formula>AG$33=1</formula>
    </cfRule>
  </conditionalFormatting>
  <conditionalFormatting sqref="Z46">
    <cfRule type="expression" dxfId="120" priority="39">
      <formula>Z$33=1</formula>
    </cfRule>
  </conditionalFormatting>
  <conditionalFormatting sqref="AB46:AD46">
    <cfRule type="expression" dxfId="119" priority="38">
      <formula>AB$33=1</formula>
    </cfRule>
  </conditionalFormatting>
  <conditionalFormatting sqref="AX46">
    <cfRule type="expression" dxfId="118" priority="37">
      <formula>AX$33=1</formula>
    </cfRule>
  </conditionalFormatting>
  <conditionalFormatting sqref="AW46">
    <cfRule type="expression" dxfId="117" priority="36">
      <formula>AW$33=1</formula>
    </cfRule>
  </conditionalFormatting>
  <conditionalFormatting sqref="AZ46">
    <cfRule type="expression" dxfId="116" priority="35">
      <formula>AZ$33=1</formula>
    </cfRule>
  </conditionalFormatting>
  <conditionalFormatting sqref="AG46">
    <cfRule type="expression" dxfId="115" priority="34">
      <formula>AG$33=1</formula>
    </cfRule>
  </conditionalFormatting>
  <conditionalFormatting sqref="T47">
    <cfRule type="expression" dxfId="114" priority="32">
      <formula>T$33=1</formula>
    </cfRule>
  </conditionalFormatting>
  <conditionalFormatting sqref="Z47">
    <cfRule type="expression" dxfId="113" priority="31">
      <formula>Z$33=1</formula>
    </cfRule>
  </conditionalFormatting>
  <conditionalFormatting sqref="AB47:AD47">
    <cfRule type="expression" dxfId="112" priority="30">
      <formula>AB$33=1</formula>
    </cfRule>
  </conditionalFormatting>
  <conditionalFormatting sqref="AX47">
    <cfRule type="expression" dxfId="111" priority="29">
      <formula>AX$33=1</formula>
    </cfRule>
  </conditionalFormatting>
  <conditionalFormatting sqref="AW47">
    <cfRule type="expression" dxfId="110" priority="28">
      <formula>AW$33=1</formula>
    </cfRule>
  </conditionalFormatting>
  <conditionalFormatting sqref="AZ47">
    <cfRule type="expression" dxfId="109" priority="27">
      <formula>AZ$33=1</formula>
    </cfRule>
  </conditionalFormatting>
  <conditionalFormatting sqref="AG47">
    <cfRule type="expression" dxfId="108" priority="26">
      <formula>AG$33=1</formula>
    </cfRule>
  </conditionalFormatting>
  <conditionalFormatting sqref="T49">
    <cfRule type="expression" dxfId="107" priority="25">
      <formula>T$33=1</formula>
    </cfRule>
  </conditionalFormatting>
  <conditionalFormatting sqref="T48">
    <cfRule type="expression" dxfId="106" priority="23">
      <formula>T$33=1</formula>
    </cfRule>
  </conditionalFormatting>
  <conditionalFormatting sqref="Z48">
    <cfRule type="expression" dxfId="105" priority="22">
      <formula>Z$33=1</formula>
    </cfRule>
  </conditionalFormatting>
  <conditionalFormatting sqref="AB48:AD48">
    <cfRule type="expression" dxfId="104" priority="21">
      <formula>AB$33=1</formula>
    </cfRule>
  </conditionalFormatting>
  <conditionalFormatting sqref="AX48">
    <cfRule type="expression" dxfId="103" priority="20">
      <formula>AX$33=1</formula>
    </cfRule>
  </conditionalFormatting>
  <conditionalFormatting sqref="AZ48">
    <cfRule type="expression" dxfId="102" priority="18">
      <formula>AZ$33=1</formula>
    </cfRule>
  </conditionalFormatting>
  <conditionalFormatting sqref="BE49">
    <cfRule type="expression" dxfId="101" priority="15">
      <formula>BE$33=1</formula>
    </cfRule>
  </conditionalFormatting>
  <conditionalFormatting sqref="BF49:BJ49">
    <cfRule type="expression" dxfId="100" priority="16">
      <formula>BF$33=1</formula>
    </cfRule>
  </conditionalFormatting>
  <conditionalFormatting sqref="AK48:AK49">
    <cfRule type="expression" dxfId="99" priority="14">
      <formula>AK$33=1</formula>
    </cfRule>
  </conditionalFormatting>
  <conditionalFormatting sqref="AE50:AF50">
    <cfRule type="expression" dxfId="98" priority="13">
      <formula>AE$33=1</formula>
    </cfRule>
  </conditionalFormatting>
  <conditionalFormatting sqref="Z50">
    <cfRule type="expression" dxfId="97" priority="12">
      <formula>Z$33=1</formula>
    </cfRule>
  </conditionalFormatting>
  <conditionalFormatting sqref="AB50:AD50">
    <cfRule type="expression" dxfId="96" priority="11">
      <formula>AB$33=1</formula>
    </cfRule>
  </conditionalFormatting>
  <conditionalFormatting sqref="AX50">
    <cfRule type="expression" dxfId="95" priority="10">
      <formula>AX$33=1</formula>
    </cfRule>
  </conditionalFormatting>
  <conditionalFormatting sqref="AW50">
    <cfRule type="expression" dxfId="94" priority="9">
      <formula>AW$33=1</formula>
    </cfRule>
  </conditionalFormatting>
  <conditionalFormatting sqref="AZ50">
    <cfRule type="expression" dxfId="93" priority="8">
      <formula>AZ$33=1</formula>
    </cfRule>
  </conditionalFormatting>
  <conditionalFormatting sqref="AG50">
    <cfRule type="expression" dxfId="92" priority="7">
      <formula>AG$33=1</formula>
    </cfRule>
  </conditionalFormatting>
  <conditionalFormatting sqref="T50">
    <cfRule type="expression" dxfId="91" priority="6">
      <formula>T$33=1</formula>
    </cfRule>
  </conditionalFormatting>
  <conditionalFormatting sqref="BE50">
    <cfRule type="expression" dxfId="90" priority="4">
      <formula>BE$33=1</formula>
    </cfRule>
  </conditionalFormatting>
  <conditionalFormatting sqref="BF50:BJ50">
    <cfRule type="expression" dxfId="89" priority="5">
      <formula>BF$33=1</formula>
    </cfRule>
  </conditionalFormatting>
  <conditionalFormatting sqref="AK50">
    <cfRule type="expression" dxfId="88" priority="3">
      <formula>AK$33=1</formula>
    </cfRule>
  </conditionalFormatting>
  <conditionalFormatting sqref="M47:M48">
    <cfRule type="expression" dxfId="1" priority="2">
      <formula>M$33=1</formula>
    </cfRule>
  </conditionalFormatting>
  <conditionalFormatting sqref="M50">
    <cfRule type="expression" dxfId="0" priority="1">
      <formula>M$33=1</formula>
    </cfRule>
  </conditionalFormatting>
  <dataValidations count="2">
    <dataValidation type="list" allowBlank="1" showInputMessage="1" showErrorMessage="1" sqref="BT36:BT47 BT49:BT50" xr:uid="{00000000-0002-0000-0000-000001000000}">
      <formula1>INDIRECT("pumpType[Pump type]")</formula1>
    </dataValidation>
    <dataValidation type="list" allowBlank="1" showInputMessage="1" showErrorMessage="1" sqref="N47:N50 M36:M46 M49 M51:M55" xr:uid="{9377F291-FBBA-4D38-8C3C-A9D85266C4B3}">
      <formula1>INDIRECT("gla_london_plan[gla_london_plan]")</formula1>
    </dataValidation>
  </dataValidations>
  <pageMargins left="0.7" right="0.7" top="0.75" bottom="0.75" header="0.3" footer="0.3"/>
  <pageSetup paperSize="9" orientation="portrait" horizontalDpi="300" verticalDpi="3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T18"/>
  <sheetViews>
    <sheetView zoomScale="70" zoomScaleNormal="70" workbookViewId="0">
      <selection activeCell="E15" sqref="E15"/>
    </sheetView>
  </sheetViews>
  <sheetFormatPr defaultRowHeight="14.6" x14ac:dyDescent="0.4"/>
  <cols>
    <col min="1" max="1" width="15.69140625" customWidth="1"/>
    <col min="2" max="2" width="2" customWidth="1"/>
    <col min="3" max="3" width="36.3046875" customWidth="1"/>
    <col min="4" max="4" width="1.15234375" customWidth="1"/>
    <col min="5" max="5" width="36.3046875" customWidth="1"/>
    <col min="6" max="6" width="1.69140625" customWidth="1"/>
    <col min="7" max="7" width="39.3046875" customWidth="1"/>
    <col min="8" max="8" width="2" customWidth="1"/>
    <col min="9" max="9" width="40.3828125" customWidth="1"/>
    <col min="10" max="10" width="1.53515625" customWidth="1"/>
    <col min="11" max="11" width="30.69140625" customWidth="1"/>
    <col min="13" max="13" width="11.53515625" customWidth="1"/>
    <col min="17" max="17" width="14" customWidth="1"/>
    <col min="18" max="19" width="12.3828125" customWidth="1"/>
  </cols>
  <sheetData>
    <row r="1" spans="1:20" s="1" customFormat="1" ht="42.75" customHeight="1" thickBot="1" x14ac:dyDescent="0.45">
      <c r="A1" s="1" t="s">
        <v>12</v>
      </c>
      <c r="C1" s="2" t="s">
        <v>7</v>
      </c>
      <c r="D1" s="2"/>
      <c r="E1" s="2" t="s">
        <v>224</v>
      </c>
      <c r="F1" s="2"/>
      <c r="G1" s="2" t="s">
        <v>25</v>
      </c>
      <c r="I1" s="2" t="s">
        <v>19</v>
      </c>
      <c r="K1" s="2" t="s">
        <v>39</v>
      </c>
      <c r="M1" s="1" t="s">
        <v>151</v>
      </c>
      <c r="Q1" s="8" t="s">
        <v>41</v>
      </c>
      <c r="R1" t="s">
        <v>46</v>
      </c>
      <c r="S1" s="14" t="s">
        <v>44</v>
      </c>
      <c r="T1" s="11" t="s">
        <v>15</v>
      </c>
    </row>
    <row r="2" spans="1:20" ht="39" thickBot="1" x14ac:dyDescent="0.45">
      <c r="A2" t="b">
        <v>1</v>
      </c>
      <c r="C2" t="s">
        <v>69</v>
      </c>
      <c r="G2" s="5" t="s">
        <v>26</v>
      </c>
      <c r="I2" s="5" t="s">
        <v>21</v>
      </c>
      <c r="K2" s="5" t="s">
        <v>28</v>
      </c>
      <c r="M2" t="s">
        <v>155</v>
      </c>
      <c r="Q2" s="9" t="s">
        <v>42</v>
      </c>
      <c r="R2" t="s">
        <v>3</v>
      </c>
      <c r="S2" s="15">
        <v>0.51900000000000002</v>
      </c>
      <c r="T2" s="12">
        <v>0.216</v>
      </c>
    </row>
    <row r="3" spans="1:20" ht="39" thickBot="1" x14ac:dyDescent="0.45">
      <c r="A3" t="b">
        <v>0</v>
      </c>
      <c r="C3" t="s">
        <v>70</v>
      </c>
      <c r="E3" t="s">
        <v>130</v>
      </c>
      <c r="G3" s="6" t="s">
        <v>67</v>
      </c>
      <c r="I3" s="6" t="s">
        <v>20</v>
      </c>
      <c r="K3" s="6" t="s">
        <v>40</v>
      </c>
      <c r="M3" t="s">
        <v>153</v>
      </c>
      <c r="Q3" s="10" t="s">
        <v>43</v>
      </c>
      <c r="R3" t="s">
        <v>45</v>
      </c>
      <c r="S3" s="16">
        <v>0.23300000000000001</v>
      </c>
      <c r="T3" s="13">
        <v>0.21</v>
      </c>
    </row>
    <row r="4" spans="1:20" x14ac:dyDescent="0.4">
      <c r="C4" t="s">
        <v>71</v>
      </c>
      <c r="E4" t="s">
        <v>131</v>
      </c>
      <c r="G4" s="5" t="s">
        <v>27</v>
      </c>
      <c r="I4" s="5" t="s">
        <v>22</v>
      </c>
      <c r="K4" s="5" t="s">
        <v>33</v>
      </c>
      <c r="M4" t="s">
        <v>154</v>
      </c>
    </row>
    <row r="5" spans="1:20" x14ac:dyDescent="0.4">
      <c r="E5" t="s">
        <v>132</v>
      </c>
      <c r="G5" s="6"/>
      <c r="I5" s="6" t="s">
        <v>23</v>
      </c>
      <c r="K5" s="6" t="s">
        <v>5</v>
      </c>
      <c r="M5" t="s">
        <v>152</v>
      </c>
    </row>
    <row r="6" spans="1:20" x14ac:dyDescent="0.4">
      <c r="G6" s="7"/>
      <c r="I6" s="7" t="s">
        <v>24</v>
      </c>
    </row>
    <row r="7" spans="1:20" x14ac:dyDescent="0.4">
      <c r="I7" s="5" t="s">
        <v>68</v>
      </c>
    </row>
    <row r="8" spans="1:20" x14ac:dyDescent="0.4">
      <c r="K8" s="6" t="s">
        <v>29</v>
      </c>
    </row>
    <row r="9" spans="1:20" x14ac:dyDescent="0.4">
      <c r="K9" s="5" t="s">
        <v>30</v>
      </c>
    </row>
    <row r="10" spans="1:20" x14ac:dyDescent="0.4">
      <c r="K10" s="6" t="s">
        <v>31</v>
      </c>
    </row>
    <row r="11" spans="1:20" x14ac:dyDescent="0.4">
      <c r="K11" s="5" t="s">
        <v>32</v>
      </c>
    </row>
    <row r="12" spans="1:20" x14ac:dyDescent="0.4">
      <c r="K12" s="6" t="s">
        <v>33</v>
      </c>
    </row>
    <row r="13" spans="1:20" x14ac:dyDescent="0.4">
      <c r="K13" s="5" t="s">
        <v>34</v>
      </c>
    </row>
    <row r="14" spans="1:20" x14ac:dyDescent="0.4">
      <c r="K14" s="5" t="s">
        <v>35</v>
      </c>
    </row>
    <row r="15" spans="1:20" x14ac:dyDescent="0.4">
      <c r="K15" s="5" t="s">
        <v>36</v>
      </c>
    </row>
    <row r="16" spans="1:20" x14ac:dyDescent="0.4">
      <c r="K16" s="6" t="s">
        <v>37</v>
      </c>
    </row>
    <row r="17" spans="11:11" x14ac:dyDescent="0.4">
      <c r="K17" s="5" t="s">
        <v>38</v>
      </c>
    </row>
    <row r="18" spans="11:11" x14ac:dyDescent="0.4">
      <c r="K18" s="7" t="s">
        <v>5</v>
      </c>
    </row>
  </sheetData>
  <pageMargins left="0.7" right="0.7" top="0.75" bottom="0.75" header="0.3" footer="0.3"/>
  <tableParts count="7">
    <tablePart r:id="rId1"/>
    <tablePart r:id="rId2"/>
    <tablePart r:id="rId3"/>
    <tablePart r:id="rId4"/>
    <tablePart r:id="rId5"/>
    <tablePart r:id="rId6"/>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4"/>
  <sheetViews>
    <sheetView workbookViewId="0">
      <selection activeCell="F19" sqref="F19"/>
    </sheetView>
  </sheetViews>
  <sheetFormatPr defaultRowHeight="14.6" x14ac:dyDescent="0.4"/>
  <sheetData>
    <row r="4" spans="1:1" x14ac:dyDescent="0.4">
      <c r="A4" t="s">
        <v>130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
  <sheetViews>
    <sheetView workbookViewId="0">
      <selection activeCell="I16" sqref="I16"/>
    </sheetView>
  </sheetViews>
  <sheetFormatPr defaultRowHeight="14.6" x14ac:dyDescent="0.4"/>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run_sap">
                <anchor moveWithCells="1" sizeWithCells="1">
                  <from>
                    <xdr:col>0</xdr:col>
                    <xdr:colOff>402771</xdr:colOff>
                    <xdr:row>2</xdr:row>
                    <xdr:rowOff>174171</xdr:rowOff>
                  </from>
                  <to>
                    <xdr:col>8</xdr:col>
                    <xdr:colOff>136071</xdr:colOff>
                    <xdr:row>4</xdr:row>
                    <xdr:rowOff>174171</xdr:rowOff>
                  </to>
                </anchor>
              </controlPr>
            </control>
          </mc:Choice>
        </mc:AlternateContent>
        <mc:AlternateContent xmlns:mc="http://schemas.openxmlformats.org/markup-compatibility/2006">
          <mc:Choice Requires="x14">
            <control shapeId="9218" r:id="rId5" name="Button 2">
              <controlPr defaultSize="0" print="0" autoFill="0" autoPict="0" macro="[0]!run_sap_aggregator">
                <anchor moveWithCells="1" sizeWithCells="1">
                  <from>
                    <xdr:col>0</xdr:col>
                    <xdr:colOff>364671</xdr:colOff>
                    <xdr:row>5</xdr:row>
                    <xdr:rowOff>0</xdr:rowOff>
                  </from>
                  <to>
                    <xdr:col>8</xdr:col>
                    <xdr:colOff>136071</xdr:colOff>
                    <xdr:row>6</xdr:row>
                    <xdr:rowOff>174171</xdr:rowOff>
                  </to>
                </anchor>
              </controlPr>
            </control>
          </mc:Choice>
        </mc:AlternateContent>
        <mc:AlternateContent xmlns:mc="http://schemas.openxmlformats.org/markup-compatibility/2006">
          <mc:Choice Requires="x14">
            <control shapeId="9219" r:id="rId6" name="Button 3">
              <controlPr defaultSize="0" print="0" autoFill="0" autoPict="0" macro="[0]!run_pySAP_summary">
                <anchor moveWithCells="1" sizeWithCells="1">
                  <from>
                    <xdr:col>0</xdr:col>
                    <xdr:colOff>381000</xdr:colOff>
                    <xdr:row>7</xdr:row>
                    <xdr:rowOff>21771</xdr:rowOff>
                  </from>
                  <to>
                    <xdr:col>8</xdr:col>
                    <xdr:colOff>152400</xdr:colOff>
                    <xdr:row>9</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56AC2-999A-4A6F-B1DE-6A48D13BFC97}">
  <sheetPr codeName="Sheet4"/>
  <dimension ref="A1:C4"/>
  <sheetViews>
    <sheetView showGridLines="0" workbookViewId="0">
      <selection activeCell="C13" sqref="C13"/>
    </sheetView>
  </sheetViews>
  <sheetFormatPr defaultRowHeight="14.6" x14ac:dyDescent="0.4"/>
  <cols>
    <col min="2" max="2" width="18.3828125" customWidth="1"/>
    <col min="3" max="3" width="55" customWidth="1"/>
  </cols>
  <sheetData>
    <row r="1" spans="1:3" x14ac:dyDescent="0.4">
      <c r="A1" t="s">
        <v>193</v>
      </c>
      <c r="B1" s="138" t="s">
        <v>194</v>
      </c>
      <c r="C1" t="s">
        <v>195</v>
      </c>
    </row>
    <row r="2" spans="1:3" x14ac:dyDescent="0.4">
      <c r="A2" t="s">
        <v>196</v>
      </c>
      <c r="B2" s="139">
        <v>42593</v>
      </c>
      <c r="C2" t="s">
        <v>197</v>
      </c>
    </row>
    <row r="3" spans="1:3" x14ac:dyDescent="0.4">
      <c r="A3" t="s">
        <v>198</v>
      </c>
      <c r="B3" s="139">
        <v>42600</v>
      </c>
      <c r="C3" t="s">
        <v>199</v>
      </c>
    </row>
    <row r="4" spans="1:3" x14ac:dyDescent="0.4">
      <c r="A4" t="s">
        <v>200</v>
      </c>
      <c r="B4" s="139">
        <v>43811</v>
      </c>
      <c r="C4" t="s">
        <v>201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95868-83E1-4B86-B94A-83FDC124AE81}">
  <sheetPr codeName="Sheet5"/>
  <dimension ref="A1:B5"/>
  <sheetViews>
    <sheetView showGridLines="0" workbookViewId="0">
      <selection activeCell="F30" sqref="F30"/>
    </sheetView>
  </sheetViews>
  <sheetFormatPr defaultRowHeight="14.6" x14ac:dyDescent="0.4"/>
  <cols>
    <col min="1" max="1" width="18.3046875" customWidth="1"/>
    <col min="2" max="2" width="23.3828125" customWidth="1"/>
  </cols>
  <sheetData>
    <row r="1" spans="1:2" x14ac:dyDescent="0.4">
      <c r="A1" s="140" t="s">
        <v>202</v>
      </c>
      <c r="B1" s="140" t="s">
        <v>207</v>
      </c>
    </row>
    <row r="2" spans="1:2" x14ac:dyDescent="0.4">
      <c r="A2" t="s">
        <v>203</v>
      </c>
      <c r="B2" t="s">
        <v>208</v>
      </c>
    </row>
    <row r="3" spans="1:2" x14ac:dyDescent="0.4">
      <c r="A3" t="s">
        <v>204</v>
      </c>
      <c r="B3" t="s">
        <v>209</v>
      </c>
    </row>
    <row r="4" spans="1:2" x14ac:dyDescent="0.4">
      <c r="A4" t="s">
        <v>205</v>
      </c>
      <c r="B4" t="s">
        <v>202</v>
      </c>
    </row>
    <row r="5" spans="1:2" x14ac:dyDescent="0.4">
      <c r="A5" t="s">
        <v>206</v>
      </c>
      <c r="B5" t="s">
        <v>202</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Sheet1</vt:lpstr>
      <vt:lpstr>data_validation</vt:lpstr>
      <vt:lpstr>ref</vt:lpstr>
      <vt:lpstr>Sheet2</vt:lpstr>
      <vt:lpstr>issueHistory</vt:lpstr>
      <vt:lpstr>projectTeam</vt:lpstr>
    </vt:vector>
  </TitlesOfParts>
  <Company>Max Fordham LLP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Gunstone</dc:creator>
  <cp:lastModifiedBy>John Gunstone</cp:lastModifiedBy>
  <dcterms:created xsi:type="dcterms:W3CDTF">2019-01-12T18:28:22Z</dcterms:created>
  <dcterms:modified xsi:type="dcterms:W3CDTF">2020-06-26T07:42:05Z</dcterms:modified>
</cp:coreProperties>
</file>