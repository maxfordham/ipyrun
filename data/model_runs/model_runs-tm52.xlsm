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J6025\Calcs\ParlL_Compliance-1\"/>
    </mc:Choice>
  </mc:AlternateContent>
  <xr:revisionPtr revIDLastSave="0" documentId="13_ncr:1_{25458822-A76B-4F07-A1AB-46224BDB17F7}" xr6:coauthVersionLast="41" xr6:coauthVersionMax="41" xr10:uidLastSave="{00000000-0000-0000-0000-000000000000}"/>
  <bookViews>
    <workbookView xWindow="3225" yWindow="2685" windowWidth="18000" windowHeight="12735" xr2:uid="{00000000-000D-0000-FFFF-FFFF00000000}"/>
  </bookViews>
  <sheets>
    <sheet name="Sheet1" sheetId="9" r:id="rId1"/>
    <sheet name="data_validation" sheetId="2" r:id="rId2"/>
    <sheet name="ref" sheetId="5" r:id="rId3"/>
    <sheet name="Sheet2" sheetId="10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5" i="9" l="1"/>
  <c r="L36" i="9" s="1"/>
  <c r="L34" i="9"/>
  <c r="M34" i="9" s="1"/>
  <c r="H34" i="9" s="1"/>
  <c r="M36" i="9" l="1"/>
  <c r="H36" i="9" s="1"/>
  <c r="P36" i="9" s="1"/>
  <c r="L37" i="9"/>
  <c r="M37" i="9" s="1"/>
  <c r="H37" i="9" s="1"/>
  <c r="P37" i="9" s="1"/>
  <c r="M35" i="9"/>
  <c r="H35" i="9" s="1"/>
  <c r="L30" i="9"/>
  <c r="M29" i="9"/>
  <c r="M30" i="9" l="1"/>
  <c r="H30" i="9" s="1"/>
  <c r="L31" i="9"/>
  <c r="I6" i="9"/>
  <c r="I7" i="9" s="1"/>
  <c r="M31" i="9" l="1"/>
  <c r="H31" i="9" s="1"/>
  <c r="L32" i="9"/>
  <c r="I16" i="9"/>
  <c r="I15" i="9"/>
  <c r="I14" i="9"/>
  <c r="I13" i="9"/>
  <c r="I11" i="9"/>
  <c r="I9" i="9"/>
  <c r="I12" i="9"/>
  <c r="I10" i="9"/>
  <c r="I8" i="9"/>
  <c r="Q35" i="9" l="1"/>
  <c r="Q33" i="9"/>
  <c r="Q34" i="9"/>
  <c r="P35" i="9"/>
  <c r="P33" i="9"/>
  <c r="P34" i="9"/>
  <c r="M32" i="9"/>
  <c r="H32" i="9" s="1"/>
  <c r="Q32" i="9" s="1"/>
  <c r="L33" i="9"/>
  <c r="Q31" i="9"/>
  <c r="P31" i="9"/>
  <c r="Q30" i="9"/>
  <c r="P30" i="9"/>
  <c r="H29" i="9"/>
  <c r="Q29" i="9" s="1"/>
  <c r="M33" i="9" l="1"/>
  <c r="H33" i="9" s="1"/>
  <c r="P32" i="9"/>
  <c r="P29" i="9"/>
</calcChain>
</file>

<file path=xl/sharedStrings.xml><?xml version="1.0" encoding="utf-8"?>
<sst xmlns="http://schemas.openxmlformats.org/spreadsheetml/2006/main" count="232" uniqueCount="128">
  <si>
    <t>description</t>
  </si>
  <si>
    <t>general reference</t>
  </si>
  <si>
    <t>drwg reference</t>
  </si>
  <si>
    <t>SAP2012</t>
  </si>
  <si>
    <t>U-Value (walls) (w/m2.k)</t>
  </si>
  <si>
    <t>U-Value (floor) (w/m2.k)</t>
  </si>
  <si>
    <t>U-Value (roof) (w/m2.k)</t>
  </si>
  <si>
    <t>U-Value (opaque doors) (w/m2.k)</t>
  </si>
  <si>
    <t>G-value</t>
  </si>
  <si>
    <t>window frame factor</t>
  </si>
  <si>
    <t>U-Value (windows) (w/m2.k)</t>
  </si>
  <si>
    <t>door frame factor</t>
  </si>
  <si>
    <t>Air Permeability (m3/h.m2 @50Pa)</t>
  </si>
  <si>
    <t>na</t>
  </si>
  <si>
    <t>london_plan_run</t>
  </si>
  <si>
    <t>baseline</t>
  </si>
  <si>
    <t>lean</t>
  </si>
  <si>
    <t>clean</t>
  </si>
  <si>
    <t>green</t>
  </si>
  <si>
    <t>tag</t>
  </si>
  <si>
    <t>header_row</t>
  </si>
  <si>
    <t>file_prefix</t>
  </si>
  <si>
    <t>follow_links</t>
  </si>
  <si>
    <t>group</t>
  </si>
  <si>
    <t>value_used_in_python_calc?</t>
  </si>
  <si>
    <t>london_plan_ref</t>
  </si>
  <si>
    <t>Natural Gas</t>
  </si>
  <si>
    <t>job_no</t>
  </si>
  <si>
    <t>job_name</t>
  </si>
  <si>
    <t>filtered_runs_to_graph</t>
  </si>
  <si>
    <t>report_params_in_output_summary?</t>
  </si>
  <si>
    <t>SAP_heating_type</t>
  </si>
  <si>
    <t>Community CHP</t>
  </si>
  <si>
    <t>Community Boilers</t>
  </si>
  <si>
    <t>Community waste heat from power station</t>
  </si>
  <si>
    <t>Community heat pump</t>
  </si>
  <si>
    <t>Community geothermal heat source</t>
  </si>
  <si>
    <t>SAP_heating_group</t>
  </si>
  <si>
    <t>Community heating schemes</t>
  </si>
  <si>
    <t>not tested for anything else!</t>
  </si>
  <si>
    <t>…</t>
  </si>
  <si>
    <t>heat from boilers - mains gas</t>
  </si>
  <si>
    <t>heat from boilers - LPG</t>
  </si>
  <si>
    <t>heat from boilers - oil</t>
  </si>
  <si>
    <t>heat from boilers - B30D</t>
  </si>
  <si>
    <t>heat from boilers - coal</t>
  </si>
  <si>
    <t>heat from electric heat pump</t>
  </si>
  <si>
    <t>heat from boilers - biomass</t>
  </si>
  <si>
    <t>heat from boilers - biogas</t>
  </si>
  <si>
    <t>waste heat from power stations</t>
  </si>
  <si>
    <t>geothermal heat source</t>
  </si>
  <si>
    <t>heat from CHP</t>
  </si>
  <si>
    <t>SAP_heating_fuel</t>
  </si>
  <si>
    <t>heat from CHP - mains gas</t>
  </si>
  <si>
    <t>Fuel type</t>
  </si>
  <si>
    <t>SAP2012 Fuel Carbon Factor (kWh/kgCO2)</t>
  </si>
  <si>
    <t>SAP10 Fuel Carbon Factor (kWh/kgCO2)</t>
  </si>
  <si>
    <t xml:space="preserve">Grid Electricity </t>
  </si>
  <si>
    <t>SAP10</t>
  </si>
  <si>
    <t>ref</t>
  </si>
  <si>
    <t>counter</t>
  </si>
  <si>
    <t>naming model runs →</t>
  </si>
  <si>
    <t>refs and linked files →</t>
  </si>
  <si>
    <t>fabric →</t>
  </si>
  <si>
    <t>vent →</t>
  </si>
  <si>
    <t>heat &amp; dhw →</t>
  </si>
  <si>
    <t>cooling →</t>
  </si>
  <si>
    <t>meta</t>
  </si>
  <si>
    <t>model_run</t>
  </si>
  <si>
    <t>details  →</t>
  </si>
  <si>
    <t>details →</t>
  </si>
  <si>
    <t>Results fpth</t>
  </si>
  <si>
    <t>Model fpth</t>
  </si>
  <si>
    <t xml:space="preserve">average glazing ratio </t>
  </si>
  <si>
    <t>Ventilation Description</t>
  </si>
  <si>
    <t>internal gains→</t>
  </si>
  <si>
    <t>Cooling description</t>
  </si>
  <si>
    <t>Cooling Technical Characteristics</t>
  </si>
  <si>
    <t>gains description</t>
  </si>
  <si>
    <t>gains technical params</t>
  </si>
  <si>
    <t>date</t>
  </si>
  <si>
    <t>Model Setup ↓↓↓</t>
  </si>
  <si>
    <t>setup</t>
  </si>
  <si>
    <t>engineer</t>
  </si>
  <si>
    <t>analysis_description</t>
  </si>
  <si>
    <t>rootdir</t>
  </si>
  <si>
    <t>00_Reference</t>
  </si>
  <si>
    <t>01_IncomingInfo</t>
  </si>
  <si>
    <t>05_ModelFiles</t>
  </si>
  <si>
    <t>06a_Outputs_ModelData</t>
  </si>
  <si>
    <t>06b_Outputs_ProcessedData</t>
  </si>
  <si>
    <t>06c_Outputs_Img</t>
  </si>
  <si>
    <t>06d_Outputs_Reports</t>
  </si>
  <si>
    <t>internal gains →</t>
  </si>
  <si>
    <r>
      <t xml:space="preserve">the area bounded by red lines denotes the area imported by python </t>
    </r>
    <r>
      <rPr>
        <b/>
        <sz val="20"/>
        <color rgb="FFFF0000"/>
        <rFont val="Calibri"/>
        <family val="2"/>
      </rPr>
      <t>↓↓↓↓</t>
    </r>
  </si>
  <si>
    <t>CIBSE TM59 Overheating Assessment</t>
  </si>
  <si>
    <t>CIBSE TM59: 2017</t>
  </si>
  <si>
    <t>no cooling</t>
  </si>
  <si>
    <t>N/A</t>
  </si>
  <si>
    <t>yes</t>
  </si>
  <si>
    <t>Thermal mass</t>
  </si>
  <si>
    <t>lightweight</t>
  </si>
  <si>
    <t>Markups</t>
  </si>
  <si>
    <t>context →</t>
  </si>
  <si>
    <t>Adjacent buildings included?</t>
  </si>
  <si>
    <t>Trees included?</t>
  </si>
  <si>
    <t>no</t>
  </si>
  <si>
    <t>heating →</t>
  </si>
  <si>
    <t>Heating description</t>
  </si>
  <si>
    <t>Heating Technical Characteristics</t>
  </si>
  <si>
    <t>heating→</t>
  </si>
  <si>
    <t>Eastfields</t>
  </si>
  <si>
    <t>CH</t>
  </si>
  <si>
    <t xml:space="preserve">Night ventilation, 35% openable area  </t>
  </si>
  <si>
    <t>Re: J6604 TM59 overheating analysis</t>
  </si>
  <si>
    <t>J:\J6604\Calcs\IesFolder\TM59_DomesticOverheatingAssessment\02_CAD\20190628</t>
  </si>
  <si>
    <t>Nat vent via windows (day and night). MVHR with summer bypass. a) supply to bedrooms, living room b) extract from toilets and kitchen.</t>
  </si>
  <si>
    <t>02_InputData</t>
  </si>
  <si>
    <t>03_CAD</t>
  </si>
  <si>
    <t>04_Calcs</t>
  </si>
  <si>
    <t>TM52-overheating</t>
  </si>
  <si>
    <t>200w kitchen gains: BRE usage template</t>
  </si>
  <si>
    <t>Night ventilation, 50% openable windows at the south facing façade of the café (assuming sliding doors), g-value of 0.2 (can be achieved by a combination of low g glass and shading), openable window in the kitchen,  kitchen extract + supply(0.3m3/s, exhaust through the roof); 20S% openable north facing windows (for cross vent); 2no natural vent cowls open for night ventilation as well as in the daytime; two of them to be fitted with reversible axial fans - boost extract during the day (0.15m3/s each), supply during night (0.1m3/s each) - in the night time the other two cowls to be used for the exhaust path; 100mm screed  for thermal mass (assuming underfloor heating) - thermal mass is not the primary measure here, but required to fulfill TM52 DSY1high50per criteria; underfloor cooling as an option for the future (reversible heat pump)- not fitted initially; kitchen assumed to be a prep, not industrial kitchen. 70% of heat gains removed by the extraction hood; (clt soffit); kitchen loads need to be carefully managed; wind speed 0.1</t>
  </si>
  <si>
    <t>lightweight generally, 100mm screed floor provides some thermal mass</t>
  </si>
  <si>
    <t>Night ventilation, 50% openable windows at the south facing façade of the café (assuming sliding doors), g-value of 0.4, openable window in the kitchen,  kitchen extract + supply(0.3m3/s, exhaust through the roof); 5% openable north facing windows (for cross vent); 2no natural vent cowls open for night ventilation as well as in the daytime; two of them to be fitted with reversible axial fans - boost extract during the day (0.15m3/s each), supply during night (0.1m3/s each) - in the night time the other two cowls to be used for the exhaust path; 100mm screed  for thermal mass (assuming underfloor heating) - thermal mass is not the primary measure here, but required to fulfill TM52 Heathrow DSY1high50per criteria; underfloor cooling as an option for the future (reversible heat pump)- not fitted initially; kitchen assumed to be a prep, not industrial kitchen. 70% of heat gains removed by the extraction hood; (clt soffit); kitchen loads need to be carefully managed; wind speed 0.5</t>
  </si>
  <si>
    <t>TM52-overheating-LHR_DSY1_2020High50</t>
  </si>
  <si>
    <t>TM52-overheating-LHR_DSY2_2020High50</t>
  </si>
  <si>
    <t>TM52-overheating-LHR_DSY3_2020High50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</si>
</sst>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0"/>
      <color theme="0" tint="-4.9989318521683403E-2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i/>
      <sz val="20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rgb="FFFF0000"/>
      <name val="Calibri"/>
      <family val="2"/>
    </font>
    <font>
      <sz val="20"/>
      <color theme="8" tint="-0.249977111117893"/>
      <name val="Calibri"/>
      <family val="2"/>
      <scheme val="minor"/>
    </font>
    <font>
      <b/>
      <sz val="36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6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thick">
        <color rgb="FFFF0000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medium">
        <color indexed="64"/>
      </left>
      <right style="medium">
        <color indexed="64"/>
      </right>
      <top style="medium">
        <color rgb="FFFF0000"/>
      </top>
      <bottom style="medium">
        <color indexed="64"/>
      </bottom>
      <diagonal/>
    </border>
    <border>
      <left style="thin">
        <color rgb="FF7F7F7F"/>
      </left>
      <right style="medium">
        <color rgb="FFFF0000"/>
      </right>
      <top style="medium">
        <color rgb="FFFF0000"/>
      </top>
      <bottom style="thin">
        <color rgb="FF7F7F7F"/>
      </bottom>
      <diagonal/>
    </border>
    <border>
      <left style="medium">
        <color rgb="FFFF0000"/>
      </left>
      <right/>
      <top/>
      <bottom/>
      <diagonal/>
    </border>
    <border>
      <left style="thin">
        <color rgb="FF7F7F7F"/>
      </left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indexed="64"/>
      </left>
      <right style="medium">
        <color indexed="64"/>
      </right>
      <top/>
      <bottom style="medium">
        <color rgb="FFFF0000"/>
      </bottom>
      <diagonal/>
    </border>
  </borders>
  <cellStyleXfs count="6">
    <xf numFmtId="0" fontId="0" fillId="0" borderId="0"/>
    <xf numFmtId="0" fontId="2" fillId="2" borderId="1" applyNumberFormat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9" fillId="0" borderId="0" applyNumberFormat="0" applyFill="0" applyBorder="0" applyAlignment="0" applyProtection="0"/>
  </cellStyleXfs>
  <cellXfs count="134">
    <xf numFmtId="0" fontId="0" fillId="0" borderId="0" xfId="0"/>
    <xf numFmtId="0" fontId="1" fillId="0" borderId="0" xfId="0" applyFont="1" applyAlignment="1">
      <alignment vertical="top" wrapText="1"/>
    </xf>
    <xf numFmtId="0" fontId="1" fillId="0" borderId="0" xfId="0" applyFont="1" applyAlignment="1">
      <alignment vertical="top"/>
    </xf>
    <xf numFmtId="0" fontId="3" fillId="3" borderId="0" xfId="0" applyFont="1" applyFill="1"/>
    <xf numFmtId="0" fontId="3" fillId="0" borderId="0" xfId="0" applyFont="1"/>
    <xf numFmtId="0" fontId="3" fillId="3" borderId="4" xfId="0" applyFont="1" applyFill="1" applyBorder="1"/>
    <xf numFmtId="0" fontId="5" fillId="4" borderId="6" xfId="2" applyFont="1" applyFill="1" applyBorder="1" applyAlignment="1">
      <alignment horizontal="center" vertical="center" wrapText="1"/>
    </xf>
    <xf numFmtId="0" fontId="6" fillId="5" borderId="7" xfId="2" applyFont="1" applyFill="1" applyBorder="1" applyAlignment="1">
      <alignment horizontal="center" vertical="center" wrapText="1"/>
    </xf>
    <xf numFmtId="0" fontId="6" fillId="5" borderId="8" xfId="2" applyFont="1" applyFill="1" applyBorder="1" applyAlignment="1">
      <alignment horizontal="center" vertical="center" wrapText="1"/>
    </xf>
    <xf numFmtId="1" fontId="7" fillId="4" borderId="9" xfId="2" applyNumberFormat="1" applyFont="1" applyFill="1" applyBorder="1" applyAlignment="1">
      <alignment horizontal="left" vertical="center"/>
    </xf>
    <xf numFmtId="164" fontId="8" fillId="4" borderId="5" xfId="0" applyNumberFormat="1" applyFont="1" applyFill="1" applyBorder="1" applyAlignment="1">
      <alignment horizontal="center" vertical="center" wrapText="1"/>
    </xf>
    <xf numFmtId="164" fontId="8" fillId="4" borderId="10" xfId="0" applyNumberFormat="1" applyFont="1" applyFill="1" applyBorder="1" applyAlignment="1">
      <alignment horizontal="center" vertical="center" wrapText="1"/>
    </xf>
    <xf numFmtId="1" fontId="7" fillId="4" borderId="11" xfId="2" applyNumberFormat="1" applyFont="1" applyFill="1" applyBorder="1" applyAlignment="1">
      <alignment horizontal="left" vertical="center"/>
    </xf>
    <xf numFmtId="164" fontId="8" fillId="4" borderId="12" xfId="0" applyNumberFormat="1" applyFont="1" applyFill="1" applyBorder="1" applyAlignment="1">
      <alignment horizontal="center" vertical="center" wrapText="1"/>
    </xf>
    <xf numFmtId="164" fontId="7" fillId="4" borderId="13" xfId="2" applyNumberFormat="1" applyFont="1" applyFill="1" applyBorder="1" applyAlignment="1">
      <alignment horizontal="center" vertical="center"/>
    </xf>
    <xf numFmtId="0" fontId="10" fillId="13" borderId="0" xfId="4" applyFont="1"/>
    <xf numFmtId="0" fontId="11" fillId="13" borderId="0" xfId="4" applyFont="1" applyBorder="1"/>
    <xf numFmtId="0" fontId="10" fillId="13" borderId="0" xfId="4" applyFont="1" applyAlignment="1">
      <alignment vertical="top"/>
    </xf>
    <xf numFmtId="0" fontId="10" fillId="0" borderId="0" xfId="0" applyFont="1"/>
    <xf numFmtId="0" fontId="10" fillId="0" borderId="0" xfId="0" applyFont="1" applyBorder="1"/>
    <xf numFmtId="0" fontId="12" fillId="9" borderId="17" xfId="0" applyFont="1" applyFill="1" applyBorder="1" applyAlignment="1">
      <alignment horizontal="right"/>
    </xf>
    <xf numFmtId="0" fontId="11" fillId="0" borderId="18" xfId="0" applyFont="1" applyBorder="1" applyAlignment="1">
      <alignment wrapText="1"/>
    </xf>
    <xf numFmtId="0" fontId="13" fillId="2" borderId="19" xfId="1" applyFont="1" applyBorder="1" applyAlignment="1">
      <alignment horizontal="left"/>
    </xf>
    <xf numFmtId="0" fontId="10" fillId="8" borderId="0" xfId="0" applyFont="1" applyFill="1"/>
    <xf numFmtId="0" fontId="10" fillId="7" borderId="0" xfId="0" applyFont="1" applyFill="1"/>
    <xf numFmtId="0" fontId="10" fillId="11" borderId="0" xfId="0" applyFont="1" applyFill="1"/>
    <xf numFmtId="0" fontId="10" fillId="10" borderId="0" xfId="0" applyFont="1" applyFill="1"/>
    <xf numFmtId="0" fontId="10" fillId="6" borderId="0" xfId="0" applyFont="1" applyFill="1"/>
    <xf numFmtId="0" fontId="10" fillId="12" borderId="0" xfId="0" applyFont="1" applyFill="1"/>
    <xf numFmtId="0" fontId="12" fillId="9" borderId="20" xfId="0" applyFont="1" applyFill="1" applyBorder="1" applyAlignment="1">
      <alignment horizontal="right"/>
    </xf>
    <xf numFmtId="0" fontId="11" fillId="0" borderId="3" xfId="0" applyFont="1" applyBorder="1" applyAlignment="1">
      <alignment wrapText="1"/>
    </xf>
    <xf numFmtId="0" fontId="13" fillId="2" borderId="21" xfId="1" applyFont="1" applyBorder="1" applyAlignment="1"/>
    <xf numFmtId="0" fontId="14" fillId="2" borderId="21" xfId="5" applyFont="1" applyFill="1" applyBorder="1" applyAlignment="1"/>
    <xf numFmtId="0" fontId="11" fillId="0" borderId="2" xfId="0" applyFont="1" applyBorder="1" applyAlignment="1">
      <alignment wrapText="1"/>
    </xf>
    <xf numFmtId="0" fontId="15" fillId="11" borderId="0" xfId="0" applyFont="1" applyFill="1" applyAlignment="1">
      <alignment wrapText="1"/>
    </xf>
    <xf numFmtId="0" fontId="15" fillId="0" borderId="0" xfId="0" applyFont="1" applyAlignment="1">
      <alignment wrapText="1"/>
    </xf>
    <xf numFmtId="0" fontId="15" fillId="10" borderId="0" xfId="0" applyFont="1" applyFill="1" applyAlignment="1">
      <alignment wrapText="1"/>
    </xf>
    <xf numFmtId="0" fontId="11" fillId="6" borderId="0" xfId="3" applyFont="1" applyFill="1" applyAlignment="1">
      <alignment horizontal="right" vertical="top"/>
    </xf>
    <xf numFmtId="0" fontId="12" fillId="9" borderId="22" xfId="0" applyFont="1" applyFill="1" applyBorder="1" applyAlignment="1">
      <alignment horizontal="right"/>
    </xf>
    <xf numFmtId="0" fontId="11" fillId="0" borderId="23" xfId="0" applyFont="1" applyBorder="1" applyAlignment="1">
      <alignment wrapText="1"/>
    </xf>
    <xf numFmtId="0" fontId="11" fillId="0" borderId="0" xfId="0" applyFont="1" applyBorder="1" applyAlignment="1">
      <alignment wrapText="1"/>
    </xf>
    <xf numFmtId="0" fontId="13" fillId="0" borderId="0" xfId="0" applyFont="1" applyBorder="1"/>
    <xf numFmtId="0" fontId="11" fillId="8" borderId="0" xfId="3" applyFont="1" applyFill="1" applyAlignment="1">
      <alignment horizontal="right" vertical="top"/>
    </xf>
    <xf numFmtId="0" fontId="11" fillId="7" borderId="0" xfId="3" applyFont="1" applyFill="1" applyAlignment="1">
      <alignment horizontal="right" vertical="top"/>
    </xf>
    <xf numFmtId="0" fontId="11" fillId="11" borderId="0" xfId="3" applyFont="1" applyFill="1" applyAlignment="1">
      <alignment horizontal="right" vertical="top"/>
    </xf>
    <xf numFmtId="0" fontId="11" fillId="10" borderId="0" xfId="3" applyFont="1" applyFill="1" applyAlignment="1">
      <alignment horizontal="right" vertical="top"/>
    </xf>
    <xf numFmtId="0" fontId="15" fillId="8" borderId="0" xfId="0" applyFont="1" applyFill="1" applyAlignment="1">
      <alignment wrapText="1"/>
    </xf>
    <xf numFmtId="0" fontId="10" fillId="0" borderId="0" xfId="0" applyFont="1" applyAlignment="1"/>
    <xf numFmtId="0" fontId="15" fillId="7" borderId="0" xfId="0" applyFont="1" applyFill="1" applyAlignment="1">
      <alignment wrapText="1"/>
    </xf>
    <xf numFmtId="0" fontId="11" fillId="12" borderId="0" xfId="3" applyFont="1" applyFill="1" applyAlignment="1">
      <alignment horizontal="right" vertical="top"/>
    </xf>
    <xf numFmtId="0" fontId="10" fillId="0" borderId="0" xfId="0" applyFont="1" applyBorder="1" applyAlignment="1"/>
    <xf numFmtId="0" fontId="16" fillId="0" borderId="14" xfId="0" applyFont="1" applyBorder="1" applyAlignment="1"/>
    <xf numFmtId="0" fontId="10" fillId="0" borderId="14" xfId="0" applyFont="1" applyBorder="1" applyAlignment="1"/>
    <xf numFmtId="0" fontId="15" fillId="0" borderId="14" xfId="0" applyFont="1" applyBorder="1" applyAlignment="1">
      <alignment wrapText="1"/>
    </xf>
    <xf numFmtId="0" fontId="15" fillId="8" borderId="14" xfId="0" applyFont="1" applyFill="1" applyBorder="1" applyAlignment="1">
      <alignment wrapText="1"/>
    </xf>
    <xf numFmtId="0" fontId="15" fillId="7" borderId="14" xfId="0" applyFont="1" applyFill="1" applyBorder="1" applyAlignment="1">
      <alignment wrapText="1"/>
    </xf>
    <xf numFmtId="0" fontId="15" fillId="11" borderId="14" xfId="0" applyFont="1" applyFill="1" applyBorder="1" applyAlignment="1">
      <alignment wrapText="1"/>
    </xf>
    <xf numFmtId="0" fontId="15" fillId="10" borderId="14" xfId="0" applyFont="1" applyFill="1" applyBorder="1" applyAlignment="1">
      <alignment wrapText="1"/>
    </xf>
    <xf numFmtId="0" fontId="15" fillId="6" borderId="14" xfId="0" applyFont="1" applyFill="1" applyBorder="1" applyAlignment="1">
      <alignment wrapText="1"/>
    </xf>
    <xf numFmtId="0" fontId="11" fillId="12" borderId="14" xfId="3" applyFont="1" applyFill="1" applyBorder="1" applyAlignment="1">
      <alignment horizontal="right" vertical="top"/>
    </xf>
    <xf numFmtId="0" fontId="18" fillId="0" borderId="0" xfId="0" applyFont="1" applyAlignment="1">
      <alignment horizontal="right"/>
    </xf>
    <xf numFmtId="0" fontId="18" fillId="0" borderId="0" xfId="0" applyFont="1" applyBorder="1" applyAlignment="1">
      <alignment horizontal="right"/>
    </xf>
    <xf numFmtId="0" fontId="12" fillId="9" borderId="15" xfId="0" applyFont="1" applyFill="1" applyBorder="1" applyAlignment="1">
      <alignment horizontal="right"/>
    </xf>
    <xf numFmtId="0" fontId="13" fillId="0" borderId="0" xfId="0" applyFont="1" applyBorder="1" applyAlignment="1">
      <alignment horizontal="right" wrapText="1"/>
    </xf>
    <xf numFmtId="0" fontId="13" fillId="8" borderId="0" xfId="0" applyFont="1" applyFill="1" applyBorder="1" applyAlignment="1">
      <alignment horizontal="right" wrapText="1"/>
    </xf>
    <xf numFmtId="0" fontId="13" fillId="7" borderId="0" xfId="0" applyFont="1" applyFill="1" applyBorder="1" applyAlignment="1">
      <alignment horizontal="right" wrapText="1"/>
    </xf>
    <xf numFmtId="0" fontId="13" fillId="11" borderId="0" xfId="0" applyFont="1" applyFill="1" applyBorder="1" applyAlignment="1">
      <alignment horizontal="right" wrapText="1"/>
    </xf>
    <xf numFmtId="0" fontId="13" fillId="10" borderId="0" xfId="0" applyFont="1" applyFill="1" applyBorder="1" applyAlignment="1">
      <alignment horizontal="right" wrapText="1"/>
    </xf>
    <xf numFmtId="0" fontId="13" fillId="6" borderId="0" xfId="0" applyFont="1" applyFill="1" applyBorder="1" applyAlignment="1">
      <alignment horizontal="right" wrapText="1"/>
    </xf>
    <xf numFmtId="0" fontId="13" fillId="12" borderId="0" xfId="0" applyFont="1" applyFill="1" applyBorder="1" applyAlignment="1">
      <alignment horizontal="right" wrapText="1"/>
    </xf>
    <xf numFmtId="0" fontId="18" fillId="0" borderId="0" xfId="0" applyFont="1" applyFill="1" applyBorder="1" applyAlignment="1">
      <alignment horizontal="right" wrapText="1"/>
    </xf>
    <xf numFmtId="0" fontId="18" fillId="8" borderId="0" xfId="0" applyFont="1" applyFill="1" applyBorder="1" applyAlignment="1">
      <alignment horizontal="right" wrapText="1"/>
    </xf>
    <xf numFmtId="0" fontId="18" fillId="7" borderId="0" xfId="0" applyFont="1" applyFill="1" applyBorder="1" applyAlignment="1">
      <alignment horizontal="right" wrapText="1"/>
    </xf>
    <xf numFmtId="0" fontId="18" fillId="11" borderId="0" xfId="0" applyFont="1" applyFill="1" applyBorder="1" applyAlignment="1">
      <alignment horizontal="right" wrapText="1"/>
    </xf>
    <xf numFmtId="0" fontId="18" fillId="10" borderId="0" xfId="0" applyFont="1" applyFill="1" applyBorder="1" applyAlignment="1">
      <alignment horizontal="right" wrapText="1"/>
    </xf>
    <xf numFmtId="0" fontId="18" fillId="6" borderId="0" xfId="0" applyFont="1" applyFill="1" applyBorder="1" applyAlignment="1">
      <alignment horizontal="right" wrapText="1"/>
    </xf>
    <xf numFmtId="0" fontId="18" fillId="12" borderId="0" xfId="0" applyFont="1" applyFill="1" applyBorder="1" applyAlignment="1">
      <alignment horizontal="right" wrapText="1"/>
    </xf>
    <xf numFmtId="0" fontId="11" fillId="0" borderId="0" xfId="0" applyFont="1" applyAlignment="1">
      <alignment vertical="top" textRotation="90"/>
    </xf>
    <xf numFmtId="0" fontId="11" fillId="0" borderId="0" xfId="0" applyFont="1" applyBorder="1" applyAlignment="1">
      <alignment vertical="top" textRotation="90"/>
    </xf>
    <xf numFmtId="0" fontId="16" fillId="9" borderId="15" xfId="0" applyFont="1" applyFill="1" applyBorder="1" applyAlignment="1">
      <alignment vertical="top" textRotation="90"/>
    </xf>
    <xf numFmtId="0" fontId="11" fillId="0" borderId="16" xfId="0" applyFont="1" applyBorder="1" applyAlignment="1">
      <alignment vertical="top" textRotation="90"/>
    </xf>
    <xf numFmtId="0" fontId="11" fillId="8" borderId="16" xfId="0" applyFont="1" applyFill="1" applyBorder="1" applyAlignment="1">
      <alignment vertical="top" textRotation="90"/>
    </xf>
    <xf numFmtId="0" fontId="11" fillId="7" borderId="16" xfId="0" applyFont="1" applyFill="1" applyBorder="1" applyAlignment="1">
      <alignment vertical="top" textRotation="90"/>
    </xf>
    <xf numFmtId="0" fontId="11" fillId="11" borderId="16" xfId="0" applyFont="1" applyFill="1" applyBorder="1" applyAlignment="1">
      <alignment vertical="top" textRotation="90"/>
    </xf>
    <xf numFmtId="0" fontId="11" fillId="10" borderId="16" xfId="0" applyFont="1" applyFill="1" applyBorder="1" applyAlignment="1">
      <alignment vertical="top" textRotation="90"/>
    </xf>
    <xf numFmtId="0" fontId="11" fillId="6" borderId="16" xfId="0" applyFont="1" applyFill="1" applyBorder="1" applyAlignment="1">
      <alignment vertical="top" textRotation="90"/>
    </xf>
    <xf numFmtId="0" fontId="11" fillId="12" borderId="16" xfId="0" applyFont="1" applyFill="1" applyBorder="1" applyAlignment="1">
      <alignment vertical="top" textRotation="90"/>
    </xf>
    <xf numFmtId="0" fontId="11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left" vertical="center" wrapText="1"/>
    </xf>
    <xf numFmtId="0" fontId="10" fillId="0" borderId="15" xfId="0" applyFont="1" applyBorder="1"/>
    <xf numFmtId="0" fontId="10" fillId="0" borderId="0" xfId="0" applyFont="1" applyBorder="1" applyAlignment="1">
      <alignment vertical="center" wrapText="1"/>
    </xf>
    <xf numFmtId="0" fontId="10" fillId="0" borderId="0" xfId="0" applyFont="1" applyAlignment="1">
      <alignment vertical="center"/>
    </xf>
    <xf numFmtId="0" fontId="10" fillId="0" borderId="0" xfId="0" applyFont="1" applyBorder="1" applyAlignment="1">
      <alignment vertical="center"/>
    </xf>
    <xf numFmtId="0" fontId="10" fillId="9" borderId="15" xfId="0" applyFont="1" applyFill="1" applyBorder="1" applyAlignment="1">
      <alignment vertical="center"/>
    </xf>
    <xf numFmtId="0" fontId="10" fillId="8" borderId="0" xfId="0" applyFont="1" applyFill="1" applyBorder="1" applyAlignment="1">
      <alignment vertical="center" wrapText="1"/>
    </xf>
    <xf numFmtId="0" fontId="10" fillId="7" borderId="0" xfId="0" applyFont="1" applyFill="1" applyBorder="1" applyAlignment="1">
      <alignment vertical="center" wrapText="1"/>
    </xf>
    <xf numFmtId="14" fontId="10" fillId="0" borderId="0" xfId="0" applyNumberFormat="1" applyFont="1" applyBorder="1" applyAlignment="1">
      <alignment vertical="center" wrapText="1"/>
    </xf>
    <xf numFmtId="0" fontId="10" fillId="11" borderId="0" xfId="0" applyFont="1" applyFill="1" applyBorder="1" applyAlignment="1">
      <alignment vertical="center" wrapText="1"/>
    </xf>
    <xf numFmtId="0" fontId="10" fillId="10" borderId="0" xfId="0" applyFont="1" applyFill="1" applyBorder="1" applyAlignment="1">
      <alignment vertical="center" wrapText="1"/>
    </xf>
    <xf numFmtId="0" fontId="10" fillId="6" borderId="0" xfId="0" applyFont="1" applyFill="1" applyBorder="1" applyAlignment="1">
      <alignment vertical="center" wrapText="1"/>
    </xf>
    <xf numFmtId="0" fontId="10" fillId="12" borderId="0" xfId="0" applyFont="1" applyFill="1" applyBorder="1" applyAlignment="1">
      <alignment vertical="center" wrapText="1"/>
    </xf>
    <xf numFmtId="0" fontId="10" fillId="0" borderId="0" xfId="0" applyFont="1" applyFill="1" applyBorder="1" applyAlignment="1">
      <alignment vertical="center" wrapText="1"/>
    </xf>
    <xf numFmtId="0" fontId="10" fillId="0" borderId="0" xfId="0" applyFont="1" applyFill="1" applyBorder="1" applyAlignment="1">
      <alignment vertical="center"/>
    </xf>
    <xf numFmtId="0" fontId="13" fillId="14" borderId="0" xfId="0" applyFont="1" applyFill="1" applyBorder="1" applyAlignment="1">
      <alignment horizontal="right" wrapText="1"/>
    </xf>
    <xf numFmtId="0" fontId="18" fillId="14" borderId="0" xfId="0" applyFont="1" applyFill="1" applyBorder="1" applyAlignment="1">
      <alignment horizontal="right" wrapText="1"/>
    </xf>
    <xf numFmtId="0" fontId="11" fillId="14" borderId="16" xfId="0" applyFont="1" applyFill="1" applyBorder="1" applyAlignment="1">
      <alignment vertical="top" textRotation="90"/>
    </xf>
    <xf numFmtId="0" fontId="10" fillId="15" borderId="0" xfId="0" applyFont="1" applyFill="1"/>
    <xf numFmtId="0" fontId="11" fillId="15" borderId="0" xfId="3" applyFont="1" applyFill="1" applyAlignment="1">
      <alignment horizontal="right" vertical="top"/>
    </xf>
    <xf numFmtId="0" fontId="11" fillId="15" borderId="14" xfId="3" applyFont="1" applyFill="1" applyBorder="1" applyAlignment="1">
      <alignment horizontal="right" vertical="top"/>
    </xf>
    <xf numFmtId="0" fontId="13" fillId="15" borderId="0" xfId="0" applyFont="1" applyFill="1" applyBorder="1" applyAlignment="1">
      <alignment horizontal="right" wrapText="1"/>
    </xf>
    <xf numFmtId="0" fontId="18" fillId="15" borderId="0" xfId="0" applyFont="1" applyFill="1" applyBorder="1" applyAlignment="1">
      <alignment horizontal="right" wrapText="1"/>
    </xf>
    <xf numFmtId="0" fontId="11" fillId="15" borderId="16" xfId="0" applyFont="1" applyFill="1" applyBorder="1" applyAlignment="1">
      <alignment vertical="top" textRotation="90"/>
    </xf>
    <xf numFmtId="0" fontId="10" fillId="15" borderId="0" xfId="0" applyFont="1" applyFill="1" applyBorder="1" applyAlignment="1">
      <alignment wrapText="1"/>
    </xf>
    <xf numFmtId="0" fontId="10" fillId="16" borderId="0" xfId="0" applyFont="1" applyFill="1"/>
    <xf numFmtId="0" fontId="11" fillId="16" borderId="0" xfId="3" applyFont="1" applyFill="1" applyAlignment="1">
      <alignment horizontal="right" vertical="top"/>
    </xf>
    <xf numFmtId="0" fontId="11" fillId="16" borderId="14" xfId="3" applyFont="1" applyFill="1" applyBorder="1" applyAlignment="1">
      <alignment horizontal="right" vertical="top"/>
    </xf>
    <xf numFmtId="0" fontId="13" fillId="16" borderId="0" xfId="0" applyFont="1" applyFill="1" applyBorder="1" applyAlignment="1">
      <alignment horizontal="right" wrapText="1"/>
    </xf>
    <xf numFmtId="0" fontId="18" fillId="16" borderId="0" xfId="0" applyFont="1" applyFill="1" applyBorder="1" applyAlignment="1">
      <alignment horizontal="right" wrapText="1"/>
    </xf>
    <xf numFmtId="0" fontId="11" fillId="16" borderId="16" xfId="0" applyFont="1" applyFill="1" applyBorder="1" applyAlignment="1">
      <alignment vertical="top" textRotation="90"/>
    </xf>
    <xf numFmtId="0" fontId="10" fillId="16" borderId="0" xfId="0" applyFont="1" applyFill="1" applyBorder="1" applyAlignment="1">
      <alignment wrapText="1"/>
    </xf>
    <xf numFmtId="0" fontId="11" fillId="0" borderId="16" xfId="0" applyFont="1" applyBorder="1" applyAlignment="1">
      <alignment vertical="top" textRotation="90"/>
    </xf>
    <xf numFmtId="9" fontId="10" fillId="0" borderId="0" xfId="0" applyNumberFormat="1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10" fillId="0" borderId="0" xfId="0" applyFont="1" applyAlignment="1">
      <alignment wrapText="1"/>
    </xf>
    <xf numFmtId="0" fontId="10" fillId="8" borderId="0" xfId="0" applyFont="1" applyFill="1" applyAlignment="1">
      <alignment wrapText="1"/>
    </xf>
    <xf numFmtId="0" fontId="10" fillId="0" borderId="0" xfId="0" applyNumberFormat="1" applyFont="1" applyAlignment="1">
      <alignment wrapText="1"/>
    </xf>
    <xf numFmtId="0" fontId="10" fillId="7" borderId="0" xfId="0" applyFont="1" applyFill="1" applyAlignment="1">
      <alignment wrapText="1"/>
    </xf>
    <xf numFmtId="0" fontId="10" fillId="11" borderId="0" xfId="0" applyFont="1" applyFill="1" applyAlignment="1">
      <alignment wrapText="1"/>
    </xf>
    <xf numFmtId="0" fontId="10" fillId="10" borderId="0" xfId="0" applyFont="1" applyFill="1" applyAlignment="1">
      <alignment wrapText="1"/>
    </xf>
    <xf numFmtId="0" fontId="10" fillId="6" borderId="0" xfId="0" applyFont="1" applyFill="1" applyAlignment="1">
      <alignment wrapText="1"/>
    </xf>
    <xf numFmtId="0" fontId="10" fillId="12" borderId="0" xfId="0" applyFont="1" applyFill="1" applyAlignment="1">
      <alignment wrapText="1"/>
    </xf>
    <xf numFmtId="0" fontId="10" fillId="16" borderId="0" xfId="0" applyFont="1" applyFill="1" applyAlignment="1">
      <alignment wrapText="1"/>
    </xf>
    <xf numFmtId="0" fontId="10" fillId="0" borderId="0" xfId="0" applyFont="1" applyBorder="1" applyAlignment="1">
      <alignment wrapText="1"/>
    </xf>
    <xf numFmtId="0" fontId="10" fillId="15" borderId="0" xfId="0" applyFont="1" applyFill="1" applyAlignment="1">
      <alignment wrapText="1"/>
    </xf>
  </cellXfs>
  <cellStyles count="6">
    <cellStyle name="20% - Accent6" xfId="4" builtinId="50"/>
    <cellStyle name="Hyperlink" xfId="5" builtinId="8"/>
    <cellStyle name="Input" xfId="1" builtinId="20"/>
    <cellStyle name="Normal" xfId="0" builtinId="0"/>
    <cellStyle name="Normal 2" xfId="3" xr:uid="{00000000-0005-0000-0000-000004000000}"/>
    <cellStyle name="Normal 3" xfId="2" xr:uid="{00000000-0005-0000-0000-000005000000}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249977111117893"/>
        <name val="Calibri"/>
        <scheme val="minor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249977111117893"/>
        <name val="Calibri"/>
        <scheme val="minor"/>
      </font>
      <fill>
        <patternFill patternType="solid">
          <fgColor theme="6" tint="0.79998168889431442"/>
          <bgColor theme="6" tint="0.79998168889431442"/>
        </patternFill>
      </fill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249977111117893"/>
        <name val="Calibri"/>
        <scheme val="minor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249977111117893"/>
        <name val="Calibri"/>
        <scheme val="minor"/>
      </font>
      <fill>
        <patternFill patternType="solid">
          <fgColor theme="6" tint="0.79998168889431442"/>
          <bgColor theme="6" tint="0.79998168889431442"/>
        </patternFill>
      </fill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249977111117893"/>
        <name val="Calibri"/>
        <scheme val="minor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249977111117893"/>
        <name val="Calibri"/>
        <scheme val="minor"/>
      </font>
      <fill>
        <patternFill patternType="solid">
          <fgColor theme="6" tint="0.79998168889431442"/>
          <bgColor theme="6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top" textRotation="0" wrapText="0" indent="0" justifyLastLine="0" shrinkToFit="0" readingOrder="0"/>
    </dxf>
    <dxf>
      <font>
        <b/>
      </font>
      <alignment horizontal="general" vertical="top" textRotation="0" indent="0" justifyLastLine="0" shrinkToFit="0" readingOrder="0"/>
    </dxf>
    <dxf>
      <font>
        <b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6" tint="0.5999938962981048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8" tint="0.5999938962981048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8" tint="0.3999755851924192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alignment horizontal="general" vertical="top" textRotation="90" wrapText="0" indent="0" justifyLastLine="0" shrinkToFit="0" readingOrder="0"/>
    </dxf>
    <dxf>
      <fill>
        <patternFill>
          <bgColor theme="9" tint="0.3999450666829432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16</xdr:row>
          <xdr:rowOff>304800</xdr:rowOff>
        </xdr:from>
        <xdr:to>
          <xdr:col>7</xdr:col>
          <xdr:colOff>28575</xdr:colOff>
          <xdr:row>19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GB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pyTM59_summary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19</xdr:row>
          <xdr:rowOff>295275</xdr:rowOff>
        </xdr:from>
        <xdr:to>
          <xdr:col>7</xdr:col>
          <xdr:colOff>9525</xdr:colOff>
          <xdr:row>21</xdr:row>
          <xdr:rowOff>323850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GB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pyTM59_summary jupyter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4" displayName="Table4" ref="H28:AV37" totalsRowShown="0" headerRowDxfId="56" dataDxfId="54" headerRowBorderDxfId="55">
  <autoFilter ref="H28:AV37" xr:uid="{00000000-0009-0000-0100-000004000000}"/>
  <tableColumns count="41">
    <tableColumn id="1" xr3:uid="{00000000-0010-0000-0000-000001000000}" name="model_run" dataDxfId="53">
      <calculatedColumnFormula>CONCATENATE(M29,"_",N29)</calculatedColumnFormula>
    </tableColumn>
    <tableColumn id="2" xr3:uid="{00000000-0010-0000-0000-000002000000}" name="description" dataDxfId="52"/>
    <tableColumn id="3" xr3:uid="{00000000-0010-0000-0000-000003000000}" name="filtered_runs_to_graph" dataDxfId="51"/>
    <tableColumn id="5" xr3:uid="{00000000-0010-0000-0000-000005000000}" name="naming model runs →" dataDxfId="50"/>
    <tableColumn id="6" xr3:uid="{00000000-0010-0000-0000-000006000000}" name="counter" dataDxfId="49">
      <calculatedColumnFormula>L28+1</calculatedColumnFormula>
    </tableColumn>
    <tableColumn id="7" xr3:uid="{00000000-0010-0000-0000-000007000000}" name="file_prefix" dataDxfId="48">
      <calculatedColumnFormula>CONCATENATE(TEXT((L29-MOD(L29, 10))/100,"1"),TEXT((L29-MOD(L29, 10))/10,"0"),TEXT(MOD(L29,10),"0"))</calculatedColumnFormula>
    </tableColumn>
    <tableColumn id="9" xr3:uid="{00000000-0010-0000-0000-000009000000}" name="tag" dataDxfId="47"/>
    <tableColumn id="12" xr3:uid="{00000000-0010-0000-0000-00000C000000}" name="refs and linked files →" dataDxfId="46"/>
    <tableColumn id="13" xr3:uid="{00000000-0010-0000-0000-00000D000000}" name="Results fpth" dataDxfId="45">
      <calculatedColumnFormula>CONCATENATE(#REF!,"\",H29,".csv")</calculatedColumnFormula>
    </tableColumn>
    <tableColumn id="14" xr3:uid="{00000000-0010-0000-0000-00000E000000}" name="Model fpth" dataDxfId="44"/>
    <tableColumn id="8" xr3:uid="{00000000-0010-0000-0000-000008000000}" name="date" dataDxfId="43"/>
    <tableColumn id="17" xr3:uid="{00000000-0010-0000-0000-000011000000}" name="general reference" dataDxfId="42"/>
    <tableColumn id="18" xr3:uid="{00000000-0010-0000-0000-000012000000}" name="drwg reference" dataDxfId="41"/>
    <tableColumn id="19" xr3:uid="{00000000-0010-0000-0000-000013000000}" name="london_plan_ref" dataDxfId="40"/>
    <tableColumn id="22" xr3:uid="{00000000-0010-0000-0000-000016000000}" name="Markups" dataDxfId="39"/>
    <tableColumn id="24" xr3:uid="{00000000-0010-0000-0000-000018000000}" name="fabric →" dataDxfId="38"/>
    <tableColumn id="25" xr3:uid="{00000000-0010-0000-0000-000019000000}" name="average glazing ratio " dataDxfId="37"/>
    <tableColumn id="27" xr3:uid="{00000000-0010-0000-0000-00001B000000}" name="U-Value (walls) (w/m2.k)" dataDxfId="36"/>
    <tableColumn id="28" xr3:uid="{00000000-0010-0000-0000-00001C000000}" name="U-Value (floor) (w/m2.k)" dataDxfId="35"/>
    <tableColumn id="29" xr3:uid="{00000000-0010-0000-0000-00001D000000}" name="U-Value (roof) (w/m2.k)" dataDxfId="34"/>
    <tableColumn id="30" xr3:uid="{00000000-0010-0000-0000-00001E000000}" name="U-Value (opaque doors) (w/m2.k)" dataDxfId="33"/>
    <tableColumn id="31" xr3:uid="{00000000-0010-0000-0000-00001F000000}" name="G-value" dataDxfId="32"/>
    <tableColumn id="32" xr3:uid="{00000000-0010-0000-0000-000020000000}" name="window frame factor" dataDxfId="31"/>
    <tableColumn id="33" xr3:uid="{00000000-0010-0000-0000-000021000000}" name="U-Value (windows) (w/m2.k)" dataDxfId="30"/>
    <tableColumn id="34" xr3:uid="{00000000-0010-0000-0000-000022000000}" name="door frame factor" dataDxfId="29"/>
    <tableColumn id="35" xr3:uid="{00000000-0010-0000-0000-000023000000}" name="Air Permeability (m3/h.m2 @50Pa)" dataDxfId="28"/>
    <tableColumn id="21" xr3:uid="{00000000-0010-0000-0000-000015000000}" name="Thermal mass" dataDxfId="27"/>
    <tableColumn id="36" xr3:uid="{00000000-0010-0000-0000-000024000000}" name="vent →" dataDxfId="26"/>
    <tableColumn id="37" xr3:uid="{00000000-0010-0000-0000-000025000000}" name="Ventilation Description" dataDxfId="25"/>
    <tableColumn id="42" xr3:uid="{00000000-0010-0000-0000-00002A000000}" name="internal gains→" dataDxfId="24"/>
    <tableColumn id="16" xr3:uid="{00000000-0010-0000-0000-000010000000}" name="gains description" dataDxfId="23"/>
    <tableColumn id="43" xr3:uid="{00000000-0010-0000-0000-00002B000000}" name="gains technical params" dataDxfId="22"/>
    <tableColumn id="61" xr3:uid="{00000000-0010-0000-0000-00003D000000}" name="cooling →" dataDxfId="21"/>
    <tableColumn id="62" xr3:uid="{00000000-0010-0000-0000-00003E000000}" name="Cooling description" dataDxfId="20"/>
    <tableColumn id="11" xr3:uid="{00000000-0010-0000-0000-00000B000000}" name="Cooling Technical Characteristics" dataDxfId="19"/>
    <tableColumn id="23" xr3:uid="{00000000-0010-0000-0000-000017000000}" name="heating→" dataDxfId="18"/>
    <tableColumn id="4" xr3:uid="{DC833A0D-34C4-4FB2-9B83-A56F40584A7F}" name="Heating description" dataDxfId="17"/>
    <tableColumn id="10" xr3:uid="{3A3B95F6-FC62-4C70-B8A5-656AD4F92DAE}" name="Heating Technical Characteristics" dataDxfId="16"/>
    <tableColumn id="15" xr3:uid="{02E08F95-1ACF-4A76-A36A-A4E65E2EDA8B}" name="context →" dataDxfId="15"/>
    <tableColumn id="20" xr3:uid="{307C586B-06E3-4F0C-810D-6964C2FE0625}" name="Adjacent buildings included?" dataDxfId="14"/>
    <tableColumn id="26" xr3:uid="{5B273853-5BA7-478B-851B-3469DA928A72}" name="Trees included?" dataDxfId="1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follow_links" displayName="follow_links" ref="A1:A3" totalsRowShown="0" headerRowDxfId="12">
  <autoFilter ref="A1:A3" xr:uid="{00000000-0009-0000-0100-000001000000}"/>
  <tableColumns count="1">
    <tableColumn id="1" xr3:uid="{00000000-0010-0000-0100-000001000000}" name="follow_links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london_plan_run" displayName="london_plan_run" ref="C1:C5" totalsRowShown="0" headerRowDxfId="11">
  <autoFilter ref="C1:C5" xr:uid="{00000000-0009-0000-0100-000002000000}"/>
  <tableColumns count="1">
    <tableColumn id="1" xr3:uid="{00000000-0010-0000-0200-000001000000}" name="london_plan_run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SAP_heating_group" displayName="SAP_heating_group" ref="E1:E6" totalsRowShown="0" headerRowDxfId="10" dataDxfId="9">
  <autoFilter ref="E1:E6" xr:uid="{00000000-0009-0000-0100-000003000000}"/>
  <tableColumns count="1">
    <tableColumn id="1" xr3:uid="{00000000-0010-0000-0300-000001000000}" name="SAP_heating_group" dataDxfId="8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SAP_heating_type" displayName="SAP_heating_type" ref="G1:G6" totalsRowShown="0" headerRowDxfId="7" dataDxfId="5" headerRowBorderDxfId="6">
  <autoFilter ref="G1:G6" xr:uid="{00000000-0009-0000-0100-000005000000}"/>
  <tableColumns count="1">
    <tableColumn id="1" xr3:uid="{00000000-0010-0000-0400-000001000000}" name="SAP_heating_type" dataDxfId="4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SAP_heating_fuel" displayName="SAP_heating_fuel" ref="I1:I5" totalsRowShown="0" headerRowDxfId="3" dataDxfId="1" headerRowBorderDxfId="2">
  <autoFilter ref="I1:I5" xr:uid="{00000000-0009-0000-0100-000006000000}"/>
  <tableColumns count="1">
    <tableColumn id="1" xr3:uid="{00000000-0010-0000-0500-000001000000}" name="SAP_heating_fuel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AW37"/>
  <sheetViews>
    <sheetView tabSelected="1" zoomScale="40" zoomScaleNormal="40" workbookViewId="0">
      <selection activeCell="I32" sqref="I32"/>
    </sheetView>
  </sheetViews>
  <sheetFormatPr defaultColWidth="9.140625" defaultRowHeight="26.25" outlineLevelRow="1" outlineLevelCol="1" x14ac:dyDescent="0.4"/>
  <cols>
    <col min="1" max="3" width="2.7109375" style="18" customWidth="1"/>
    <col min="4" max="5" width="2.140625" style="18" customWidth="1"/>
    <col min="6" max="6" width="2.140625" style="19" customWidth="1"/>
    <col min="7" max="7" width="21" style="89" customWidth="1"/>
    <col min="8" max="8" width="126.28515625" style="47" customWidth="1"/>
    <col min="9" max="9" width="224.42578125" style="18" customWidth="1"/>
    <col min="10" max="10" width="18.7109375" style="18" bestFit="1" customWidth="1"/>
    <col min="11" max="11" width="7.42578125" style="23" customWidth="1"/>
    <col min="12" max="14" width="40.85546875" style="18" hidden="1" customWidth="1" outlineLevel="1"/>
    <col min="15" max="15" width="6.85546875" style="24" customWidth="1" collapsed="1"/>
    <col min="16" max="16" width="35.85546875" style="18" hidden="1" customWidth="1" outlineLevel="1"/>
    <col min="17" max="22" width="28.7109375" style="18" hidden="1" customWidth="1" outlineLevel="1"/>
    <col min="23" max="23" width="6.28515625" style="25" customWidth="1" collapsed="1"/>
    <col min="24" max="34" width="17" style="18" hidden="1" customWidth="1" outlineLevel="1"/>
    <col min="35" max="35" width="6.42578125" style="26" customWidth="1" collapsed="1"/>
    <col min="36" max="36" width="33.7109375" style="18" hidden="1" customWidth="1" outlineLevel="1"/>
    <col min="37" max="37" width="7" style="27" customWidth="1" collapsed="1"/>
    <col min="38" max="38" width="54.5703125" style="18" hidden="1" customWidth="1" outlineLevel="1"/>
    <col min="39" max="39" width="27" style="18" hidden="1" customWidth="1" outlineLevel="1"/>
    <col min="40" max="40" width="6.28515625" style="28" customWidth="1" collapsed="1"/>
    <col min="41" max="41" width="20.140625" style="18" hidden="1" customWidth="1" outlineLevel="1"/>
    <col min="42" max="42" width="14.42578125" style="18" hidden="1" customWidth="1" outlineLevel="1"/>
    <col min="43" max="43" width="6.28515625" style="113" customWidth="1" collapsed="1"/>
    <col min="44" max="44" width="20.140625" style="18" hidden="1" customWidth="1" outlineLevel="1"/>
    <col min="45" max="45" width="33.42578125" style="18" hidden="1" customWidth="1" outlineLevel="1"/>
    <col min="46" max="46" width="5.5703125" style="106" customWidth="1" collapsed="1"/>
    <col min="47" max="47" width="20.140625" style="18" hidden="1" customWidth="1" outlineLevel="1"/>
    <col min="48" max="48" width="14.42578125" style="18" hidden="1" customWidth="1" outlineLevel="1"/>
    <col min="49" max="49" width="9.140625" style="18" collapsed="1"/>
    <col min="50" max="16384" width="9.140625" style="18"/>
  </cols>
  <sheetData>
    <row r="1" spans="1:46" x14ac:dyDescent="0.4">
      <c r="A1" s="15"/>
      <c r="B1" s="15"/>
      <c r="C1" s="15"/>
      <c r="D1" s="15"/>
      <c r="E1" s="15"/>
      <c r="F1" s="15"/>
      <c r="G1" s="16" t="s">
        <v>81</v>
      </c>
      <c r="H1" s="17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46" ht="27" hidden="1" outlineLevel="1" thickBot="1" x14ac:dyDescent="0.45">
      <c r="G2" s="20" t="s">
        <v>82</v>
      </c>
      <c r="H2" s="21" t="s">
        <v>27</v>
      </c>
      <c r="I2" s="22">
        <v>4321</v>
      </c>
    </row>
    <row r="3" spans="1:46" ht="27" hidden="1" outlineLevel="1" thickBot="1" x14ac:dyDescent="0.45">
      <c r="G3" s="29" t="s">
        <v>82</v>
      </c>
      <c r="H3" s="30" t="s">
        <v>28</v>
      </c>
      <c r="I3" s="31" t="s">
        <v>111</v>
      </c>
    </row>
    <row r="4" spans="1:46" ht="27" hidden="1" outlineLevel="1" thickBot="1" x14ac:dyDescent="0.45">
      <c r="G4" s="29" t="s">
        <v>82</v>
      </c>
      <c r="H4" s="30" t="s">
        <v>83</v>
      </c>
      <c r="I4" s="31" t="s">
        <v>112</v>
      </c>
    </row>
    <row r="5" spans="1:46" ht="27" hidden="1" outlineLevel="1" thickBot="1" x14ac:dyDescent="0.45">
      <c r="G5" s="29" t="s">
        <v>82</v>
      </c>
      <c r="H5" s="30" t="s">
        <v>84</v>
      </c>
      <c r="I5" s="31" t="s">
        <v>95</v>
      </c>
    </row>
    <row r="6" spans="1:46" ht="27" hidden="1" outlineLevel="1" thickBot="1" x14ac:dyDescent="0.45">
      <c r="G6" s="29" t="s">
        <v>82</v>
      </c>
      <c r="H6" s="30" t="s">
        <v>85</v>
      </c>
      <c r="I6" s="32" t="str">
        <f ca="1">HYPERLINK((LEFT(CELL("filename",I6),FIND("[",CELL("filename",I6))-1)))</f>
        <v>J:\J6025\Calcs\ParlL_Compliance-1\</v>
      </c>
    </row>
    <row r="7" spans="1:46" ht="27" hidden="1" outlineLevel="1" thickBot="1" x14ac:dyDescent="0.45">
      <c r="G7" s="29" t="s">
        <v>82</v>
      </c>
      <c r="H7" s="30" t="s">
        <v>86</v>
      </c>
      <c r="I7" s="32" t="str">
        <f t="shared" ref="I7:I16" ca="1" si="0">HYPERLINK(CONCATENATE(I$6,H7))</f>
        <v>J:\J6025\Calcs\ParlL_Compliance-1\00_Reference</v>
      </c>
    </row>
    <row r="8" spans="1:46" ht="27" hidden="1" outlineLevel="1" thickBot="1" x14ac:dyDescent="0.45">
      <c r="G8" s="29" t="s">
        <v>82</v>
      </c>
      <c r="H8" s="33" t="s">
        <v>87</v>
      </c>
      <c r="I8" s="32" t="str">
        <f t="shared" ca="1" si="0"/>
        <v>J:\J6025\Calcs\ParlL_Compliance-1\01_IncomingInfo</v>
      </c>
    </row>
    <row r="9" spans="1:46" ht="27" hidden="1" outlineLevel="1" thickBot="1" x14ac:dyDescent="0.45">
      <c r="G9" s="29" t="s">
        <v>82</v>
      </c>
      <c r="H9" s="30" t="s">
        <v>117</v>
      </c>
      <c r="I9" s="32" t="str">
        <f ca="1">HYPERLINK(CONCATENATE(I$6,H9))</f>
        <v>J:\J6025\Calcs\ParlL_Compliance-1\02_InputData</v>
      </c>
    </row>
    <row r="10" spans="1:46" ht="27" hidden="1" outlineLevel="1" thickBot="1" x14ac:dyDescent="0.45">
      <c r="G10" s="29" t="s">
        <v>82</v>
      </c>
      <c r="H10" s="30" t="s">
        <v>118</v>
      </c>
      <c r="I10" s="32" t="str">
        <f t="shared" ca="1" si="0"/>
        <v>J:\J6025\Calcs\ParlL_Compliance-1\03_CAD</v>
      </c>
    </row>
    <row r="11" spans="1:46" ht="27" hidden="1" outlineLevel="1" thickBot="1" x14ac:dyDescent="0.45">
      <c r="G11" s="29" t="s">
        <v>82</v>
      </c>
      <c r="H11" s="30" t="s">
        <v>119</v>
      </c>
      <c r="I11" s="32" t="str">
        <f t="shared" ca="1" si="0"/>
        <v>J:\J6025\Calcs\ParlL_Compliance-1\04_Calcs</v>
      </c>
    </row>
    <row r="12" spans="1:46" ht="27" hidden="1" outlineLevel="1" thickBot="1" x14ac:dyDescent="0.45">
      <c r="G12" s="29" t="s">
        <v>82</v>
      </c>
      <c r="H12" s="30" t="s">
        <v>88</v>
      </c>
      <c r="I12" s="32" t="str">
        <f t="shared" ca="1" si="0"/>
        <v>J:\J6025\Calcs\ParlL_Compliance-1\05_ModelFiles</v>
      </c>
    </row>
    <row r="13" spans="1:46" ht="27" hidden="1" outlineLevel="1" thickBot="1" x14ac:dyDescent="0.45">
      <c r="G13" s="29" t="s">
        <v>82</v>
      </c>
      <c r="H13" s="30" t="s">
        <v>89</v>
      </c>
      <c r="I13" s="32" t="str">
        <f t="shared" ca="1" si="0"/>
        <v>J:\J6025\Calcs\ParlL_Compliance-1\06a_Outputs_ModelData</v>
      </c>
    </row>
    <row r="14" spans="1:46" ht="27" hidden="1" outlineLevel="1" thickBot="1" x14ac:dyDescent="0.45">
      <c r="F14" s="18"/>
      <c r="G14" s="29" t="s">
        <v>82</v>
      </c>
      <c r="H14" s="30" t="s">
        <v>90</v>
      </c>
      <c r="I14" s="32" t="str">
        <f t="shared" ca="1" si="0"/>
        <v>J:\J6025\Calcs\ParlL_Compliance-1\06b_Outputs_ProcessedData</v>
      </c>
      <c r="W14" s="34"/>
      <c r="X14" s="35"/>
      <c r="AA14" s="35"/>
      <c r="AB14" s="35"/>
      <c r="AC14" s="35"/>
      <c r="AD14" s="35"/>
      <c r="AE14" s="35"/>
      <c r="AF14" s="35"/>
      <c r="AG14" s="35"/>
      <c r="AH14" s="35"/>
      <c r="AI14" s="36"/>
      <c r="AJ14" s="35"/>
      <c r="AK14" s="37"/>
    </row>
    <row r="15" spans="1:46" ht="27" hidden="1" outlineLevel="1" thickBot="1" x14ac:dyDescent="0.45">
      <c r="F15" s="18"/>
      <c r="G15" s="29" t="s">
        <v>82</v>
      </c>
      <c r="H15" s="30" t="s">
        <v>91</v>
      </c>
      <c r="I15" s="32" t="str">
        <f t="shared" ca="1" si="0"/>
        <v>J:\J6025\Calcs\ParlL_Compliance-1\06c_Outputs_Img</v>
      </c>
      <c r="W15" s="34"/>
      <c r="X15" s="35"/>
      <c r="AA15" s="35"/>
      <c r="AB15" s="35"/>
      <c r="AC15" s="35"/>
      <c r="AD15" s="35"/>
      <c r="AE15" s="35"/>
      <c r="AF15" s="35"/>
      <c r="AG15" s="35"/>
      <c r="AH15" s="35"/>
      <c r="AI15" s="36"/>
      <c r="AJ15" s="35"/>
      <c r="AK15" s="37"/>
    </row>
    <row r="16" spans="1:46" ht="27" hidden="1" outlineLevel="1" thickBot="1" x14ac:dyDescent="0.45">
      <c r="F16" s="18"/>
      <c r="G16" s="38" t="s">
        <v>82</v>
      </c>
      <c r="H16" s="39" t="s">
        <v>92</v>
      </c>
      <c r="I16" s="32" t="str">
        <f t="shared" ca="1" si="0"/>
        <v>J:\J6025\Calcs\ParlL_Compliance-1\06d_Outputs_Reports</v>
      </c>
    </row>
    <row r="17" spans="1:48" collapsed="1" x14ac:dyDescent="0.4">
      <c r="F17" s="18"/>
      <c r="G17" s="18"/>
      <c r="H17" s="40"/>
      <c r="I17" s="41"/>
      <c r="K17" s="42" t="s">
        <v>61</v>
      </c>
    </row>
    <row r="18" spans="1:48" x14ac:dyDescent="0.4">
      <c r="F18" s="18"/>
      <c r="G18" s="18"/>
      <c r="H18" s="40"/>
      <c r="I18" s="41"/>
      <c r="O18" s="43" t="s">
        <v>62</v>
      </c>
    </row>
    <row r="19" spans="1:48" x14ac:dyDescent="0.4">
      <c r="F19" s="18"/>
      <c r="G19" s="18"/>
      <c r="H19" s="40"/>
      <c r="I19" s="41"/>
      <c r="W19" s="44" t="s">
        <v>63</v>
      </c>
    </row>
    <row r="20" spans="1:48" x14ac:dyDescent="0.4">
      <c r="F20" s="18"/>
      <c r="G20" s="18"/>
      <c r="H20" s="40"/>
      <c r="I20" s="41"/>
      <c r="AI20" s="45" t="s">
        <v>64</v>
      </c>
    </row>
    <row r="21" spans="1:48" x14ac:dyDescent="0.4">
      <c r="F21" s="18"/>
      <c r="G21" s="18"/>
      <c r="H21" s="40"/>
      <c r="I21" s="41"/>
      <c r="W21" s="34"/>
      <c r="X21" s="35"/>
      <c r="AA21" s="35"/>
      <c r="AB21" s="35"/>
      <c r="AC21" s="35"/>
      <c r="AD21" s="35"/>
      <c r="AE21" s="35"/>
      <c r="AF21" s="35"/>
      <c r="AG21" s="35"/>
      <c r="AH21" s="35"/>
      <c r="AI21" s="36"/>
      <c r="AJ21" s="35"/>
      <c r="AK21" s="37" t="s">
        <v>93</v>
      </c>
      <c r="AO21" s="35"/>
      <c r="AP21" s="35"/>
      <c r="AR21" s="35"/>
      <c r="AS21" s="35"/>
      <c r="AU21" s="35"/>
      <c r="AV21" s="35"/>
    </row>
    <row r="22" spans="1:48" x14ac:dyDescent="0.4">
      <c r="F22" s="18"/>
      <c r="G22" s="18"/>
      <c r="H22" s="40"/>
      <c r="I22" s="41"/>
      <c r="K22" s="46"/>
      <c r="L22" s="47"/>
      <c r="M22" s="35"/>
      <c r="N22" s="35"/>
      <c r="O22" s="48"/>
      <c r="P22" s="35"/>
      <c r="Q22" s="35"/>
      <c r="R22" s="35"/>
      <c r="S22" s="35"/>
      <c r="T22" s="35"/>
      <c r="U22" s="35"/>
      <c r="V22" s="35"/>
      <c r="AL22" s="35"/>
      <c r="AM22" s="35"/>
      <c r="AN22" s="49" t="s">
        <v>66</v>
      </c>
      <c r="AQ22" s="114"/>
      <c r="AT22" s="107"/>
    </row>
    <row r="23" spans="1:48" x14ac:dyDescent="0.4">
      <c r="F23" s="18"/>
      <c r="G23" s="18"/>
      <c r="H23" s="40"/>
      <c r="I23" s="41"/>
      <c r="AQ23" s="114" t="s">
        <v>107</v>
      </c>
      <c r="AT23" s="107"/>
    </row>
    <row r="24" spans="1:48" s="52" customFormat="1" ht="27" thickBot="1" x14ac:dyDescent="0.45">
      <c r="A24" s="47"/>
      <c r="B24" s="47"/>
      <c r="C24" s="47"/>
      <c r="D24" s="47"/>
      <c r="E24" s="47"/>
      <c r="F24" s="50"/>
      <c r="G24" s="51" t="s">
        <v>94</v>
      </c>
      <c r="I24" s="53"/>
      <c r="J24" s="53"/>
      <c r="K24" s="54"/>
      <c r="M24" s="53"/>
      <c r="N24" s="53"/>
      <c r="O24" s="55"/>
      <c r="P24" s="53"/>
      <c r="Q24" s="53"/>
      <c r="R24" s="53"/>
      <c r="S24" s="53"/>
      <c r="T24" s="53"/>
      <c r="U24" s="53"/>
      <c r="V24" s="53"/>
      <c r="W24" s="56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7"/>
      <c r="AJ24" s="53"/>
      <c r="AK24" s="58"/>
      <c r="AL24" s="53"/>
      <c r="AM24" s="53"/>
      <c r="AN24" s="59"/>
      <c r="AO24" s="53"/>
      <c r="AP24" s="53"/>
      <c r="AQ24" s="115"/>
      <c r="AR24" s="53"/>
      <c r="AS24" s="53"/>
      <c r="AT24" s="108" t="s">
        <v>103</v>
      </c>
      <c r="AU24" s="53"/>
      <c r="AV24" s="53"/>
    </row>
    <row r="25" spans="1:48" s="60" customFormat="1" ht="27" thickTop="1" x14ac:dyDescent="0.4">
      <c r="A25" s="47"/>
      <c r="B25" s="47"/>
      <c r="C25" s="47"/>
      <c r="D25" s="47"/>
      <c r="F25" s="61"/>
      <c r="G25" s="62" t="s">
        <v>67</v>
      </c>
      <c r="H25" s="63" t="s">
        <v>30</v>
      </c>
      <c r="I25" s="63">
        <v>1</v>
      </c>
      <c r="J25" s="63">
        <v>1</v>
      </c>
      <c r="K25" s="64"/>
      <c r="L25" s="61">
        <v>0</v>
      </c>
      <c r="M25" s="63">
        <v>0</v>
      </c>
      <c r="N25" s="63">
        <v>0</v>
      </c>
      <c r="O25" s="65"/>
      <c r="P25" s="63">
        <v>0</v>
      </c>
      <c r="Q25" s="63">
        <v>0</v>
      </c>
      <c r="R25" s="63">
        <v>1</v>
      </c>
      <c r="S25" s="63">
        <v>1</v>
      </c>
      <c r="T25" s="63">
        <v>0</v>
      </c>
      <c r="U25" s="63">
        <v>1</v>
      </c>
      <c r="V25" s="103">
        <v>1</v>
      </c>
      <c r="W25" s="66"/>
      <c r="X25" s="63">
        <v>1</v>
      </c>
      <c r="Y25" s="63">
        <v>1</v>
      </c>
      <c r="Z25" s="63">
        <v>1</v>
      </c>
      <c r="AA25" s="63">
        <v>1</v>
      </c>
      <c r="AB25" s="63">
        <v>1</v>
      </c>
      <c r="AC25" s="63">
        <v>1</v>
      </c>
      <c r="AD25" s="63">
        <v>1</v>
      </c>
      <c r="AE25" s="63">
        <v>1</v>
      </c>
      <c r="AF25" s="63">
        <v>1</v>
      </c>
      <c r="AG25" s="63">
        <v>1</v>
      </c>
      <c r="AH25" s="63">
        <v>1</v>
      </c>
      <c r="AI25" s="67"/>
      <c r="AJ25" s="63">
        <v>1</v>
      </c>
      <c r="AK25" s="68"/>
      <c r="AL25" s="63">
        <v>1</v>
      </c>
      <c r="AM25" s="63"/>
      <c r="AN25" s="69"/>
      <c r="AO25" s="63">
        <v>1</v>
      </c>
      <c r="AP25" s="63">
        <v>1</v>
      </c>
      <c r="AQ25" s="116"/>
      <c r="AR25" s="63">
        <v>1</v>
      </c>
      <c r="AS25" s="63">
        <v>1</v>
      </c>
      <c r="AT25" s="109"/>
      <c r="AU25" s="63">
        <v>1</v>
      </c>
      <c r="AV25" s="63">
        <v>1</v>
      </c>
    </row>
    <row r="26" spans="1:48" s="60" customFormat="1" x14ac:dyDescent="0.4">
      <c r="F26" s="61"/>
      <c r="G26" s="62" t="s">
        <v>67</v>
      </c>
      <c r="H26" s="63" t="s">
        <v>24</v>
      </c>
      <c r="I26" s="63">
        <v>0</v>
      </c>
      <c r="J26" s="63">
        <v>0</v>
      </c>
      <c r="K26" s="64"/>
      <c r="L26" s="61">
        <v>0</v>
      </c>
      <c r="M26" s="63">
        <v>0</v>
      </c>
      <c r="N26" s="63">
        <v>0</v>
      </c>
      <c r="O26" s="65"/>
      <c r="P26" s="63">
        <v>1</v>
      </c>
      <c r="Q26" s="63">
        <v>0</v>
      </c>
      <c r="R26" s="63">
        <v>0</v>
      </c>
      <c r="S26" s="63">
        <v>0</v>
      </c>
      <c r="T26" s="63">
        <v>0</v>
      </c>
      <c r="U26" s="63">
        <v>0</v>
      </c>
      <c r="V26" s="103">
        <v>0</v>
      </c>
      <c r="W26" s="66"/>
      <c r="X26" s="63">
        <v>0</v>
      </c>
      <c r="Y26" s="63">
        <v>0</v>
      </c>
      <c r="Z26" s="63">
        <v>0</v>
      </c>
      <c r="AA26" s="63">
        <v>0</v>
      </c>
      <c r="AB26" s="63">
        <v>0</v>
      </c>
      <c r="AC26" s="63">
        <v>0</v>
      </c>
      <c r="AD26" s="63">
        <v>0</v>
      </c>
      <c r="AE26" s="63">
        <v>0</v>
      </c>
      <c r="AF26" s="63">
        <v>0</v>
      </c>
      <c r="AG26" s="63">
        <v>0</v>
      </c>
      <c r="AH26" s="63">
        <v>0</v>
      </c>
      <c r="AI26" s="67"/>
      <c r="AJ26" s="63">
        <v>0</v>
      </c>
      <c r="AK26" s="68"/>
      <c r="AL26" s="63">
        <v>0</v>
      </c>
      <c r="AM26" s="63"/>
      <c r="AN26" s="69"/>
      <c r="AO26" s="63">
        <v>0</v>
      </c>
      <c r="AP26" s="63">
        <v>0</v>
      </c>
      <c r="AQ26" s="116"/>
      <c r="AR26" s="63">
        <v>0</v>
      </c>
      <c r="AS26" s="63">
        <v>0</v>
      </c>
      <c r="AT26" s="109"/>
      <c r="AU26" s="63">
        <v>0</v>
      </c>
      <c r="AV26" s="63">
        <v>0</v>
      </c>
    </row>
    <row r="27" spans="1:48" s="60" customFormat="1" ht="52.5" x14ac:dyDescent="0.4">
      <c r="F27" s="61"/>
      <c r="G27" s="62" t="s">
        <v>67</v>
      </c>
      <c r="H27" s="63" t="s">
        <v>23</v>
      </c>
      <c r="I27" s="70" t="s">
        <v>69</v>
      </c>
      <c r="J27" s="70" t="s">
        <v>70</v>
      </c>
      <c r="K27" s="71"/>
      <c r="L27" s="70" t="s">
        <v>61</v>
      </c>
      <c r="M27" s="70" t="s">
        <v>61</v>
      </c>
      <c r="N27" s="70" t="s">
        <v>61</v>
      </c>
      <c r="O27" s="72"/>
      <c r="P27" s="70" t="s">
        <v>62</v>
      </c>
      <c r="Q27" s="70" t="s">
        <v>62</v>
      </c>
      <c r="R27" s="70"/>
      <c r="S27" s="70" t="s">
        <v>62</v>
      </c>
      <c r="T27" s="70" t="s">
        <v>62</v>
      </c>
      <c r="U27" s="70" t="s">
        <v>62</v>
      </c>
      <c r="V27" s="104" t="s">
        <v>62</v>
      </c>
      <c r="W27" s="73"/>
      <c r="X27" s="70" t="s">
        <v>63</v>
      </c>
      <c r="Y27" s="70" t="s">
        <v>63</v>
      </c>
      <c r="Z27" s="70" t="s">
        <v>63</v>
      </c>
      <c r="AA27" s="70" t="s">
        <v>63</v>
      </c>
      <c r="AB27" s="70" t="s">
        <v>63</v>
      </c>
      <c r="AC27" s="70" t="s">
        <v>63</v>
      </c>
      <c r="AD27" s="70" t="s">
        <v>63</v>
      </c>
      <c r="AE27" s="70" t="s">
        <v>63</v>
      </c>
      <c r="AF27" s="70" t="s">
        <v>63</v>
      </c>
      <c r="AG27" s="70" t="s">
        <v>63</v>
      </c>
      <c r="AH27" s="70" t="s">
        <v>63</v>
      </c>
      <c r="AI27" s="74"/>
      <c r="AJ27" s="70" t="s">
        <v>64</v>
      </c>
      <c r="AK27" s="75"/>
      <c r="AL27" s="70" t="s">
        <v>65</v>
      </c>
      <c r="AM27" s="70" t="s">
        <v>65</v>
      </c>
      <c r="AN27" s="76"/>
      <c r="AO27" s="70" t="s">
        <v>66</v>
      </c>
      <c r="AP27" s="70" t="s">
        <v>66</v>
      </c>
      <c r="AQ27" s="117"/>
      <c r="AR27" s="70" t="s">
        <v>107</v>
      </c>
      <c r="AS27" s="70" t="s">
        <v>107</v>
      </c>
      <c r="AT27" s="110"/>
      <c r="AU27" s="70" t="s">
        <v>103</v>
      </c>
      <c r="AV27" s="70" t="s">
        <v>103</v>
      </c>
    </row>
    <row r="28" spans="1:48" s="77" customFormat="1" ht="351.75" customHeight="1" thickBot="1" x14ac:dyDescent="0.3">
      <c r="F28" s="78"/>
      <c r="G28" s="79" t="s">
        <v>20</v>
      </c>
      <c r="H28" s="80" t="s">
        <v>68</v>
      </c>
      <c r="I28" s="80" t="s">
        <v>0</v>
      </c>
      <c r="J28" s="80" t="s">
        <v>29</v>
      </c>
      <c r="K28" s="81" t="s">
        <v>61</v>
      </c>
      <c r="L28" s="80" t="s">
        <v>60</v>
      </c>
      <c r="M28" s="80" t="s">
        <v>21</v>
      </c>
      <c r="N28" s="80" t="s">
        <v>19</v>
      </c>
      <c r="O28" s="82" t="s">
        <v>62</v>
      </c>
      <c r="P28" s="80" t="s">
        <v>71</v>
      </c>
      <c r="Q28" s="80" t="s">
        <v>72</v>
      </c>
      <c r="R28" s="80" t="s">
        <v>80</v>
      </c>
      <c r="S28" s="80" t="s">
        <v>1</v>
      </c>
      <c r="T28" s="80" t="s">
        <v>2</v>
      </c>
      <c r="U28" s="80" t="s">
        <v>25</v>
      </c>
      <c r="V28" s="105" t="s">
        <v>102</v>
      </c>
      <c r="W28" s="83" t="s">
        <v>63</v>
      </c>
      <c r="X28" s="80" t="s">
        <v>73</v>
      </c>
      <c r="Y28" s="80" t="s">
        <v>4</v>
      </c>
      <c r="Z28" s="80" t="s">
        <v>5</v>
      </c>
      <c r="AA28" s="80" t="s">
        <v>6</v>
      </c>
      <c r="AB28" s="80" t="s">
        <v>7</v>
      </c>
      <c r="AC28" s="80" t="s">
        <v>8</v>
      </c>
      <c r="AD28" s="80" t="s">
        <v>9</v>
      </c>
      <c r="AE28" s="80" t="s">
        <v>10</v>
      </c>
      <c r="AF28" s="80" t="s">
        <v>11</v>
      </c>
      <c r="AG28" s="80" t="s">
        <v>12</v>
      </c>
      <c r="AH28" s="80" t="s">
        <v>100</v>
      </c>
      <c r="AI28" s="84" t="s">
        <v>64</v>
      </c>
      <c r="AJ28" s="80" t="s">
        <v>74</v>
      </c>
      <c r="AK28" s="85" t="s">
        <v>75</v>
      </c>
      <c r="AL28" s="80" t="s">
        <v>78</v>
      </c>
      <c r="AM28" s="80" t="s">
        <v>79</v>
      </c>
      <c r="AN28" s="86" t="s">
        <v>66</v>
      </c>
      <c r="AO28" s="80" t="s">
        <v>76</v>
      </c>
      <c r="AP28" s="80" t="s">
        <v>77</v>
      </c>
      <c r="AQ28" s="118" t="s">
        <v>110</v>
      </c>
      <c r="AR28" s="120" t="s">
        <v>108</v>
      </c>
      <c r="AS28" s="120" t="s">
        <v>109</v>
      </c>
      <c r="AT28" s="111" t="s">
        <v>103</v>
      </c>
      <c r="AU28" s="120" t="s">
        <v>104</v>
      </c>
      <c r="AV28" s="120" t="s">
        <v>105</v>
      </c>
    </row>
    <row r="29" spans="1:48" s="91" customFormat="1" ht="249" customHeight="1" thickTop="1" x14ac:dyDescent="0.4">
      <c r="F29" s="92"/>
      <c r="G29" s="93"/>
      <c r="H29" s="87" t="str">
        <f>CONCATENATE(M29,"_",N29)</f>
        <v>100_TM52-overheating</v>
      </c>
      <c r="I29" s="88" t="s">
        <v>113</v>
      </c>
      <c r="J29" s="101">
        <v>0</v>
      </c>
      <c r="K29" s="94"/>
      <c r="L29" s="102">
        <v>0</v>
      </c>
      <c r="M29" s="101" t="str">
        <f t="shared" ref="M29:M30" si="1">CONCATENATE(TEXT((L29-MOD(L29, 10))/100,"1"),TEXT((L29-MOD(L29, 10))/10,"0"),TEXT(MOD(L29,10),"0"))</f>
        <v>100</v>
      </c>
      <c r="N29" s="101" t="s">
        <v>120</v>
      </c>
      <c r="O29" s="95"/>
      <c r="P29" s="90" t="str">
        <f ca="1">CONCATENATE($I$13,,"\",Table4[[#This Row],[model_run]],".xlsx")</f>
        <v>J:\J6025\Calcs\ParlL_Compliance-1\06a_Outputs_ModelData\100_TM52-overheating.xlsx</v>
      </c>
      <c r="Q29" s="90" t="str">
        <f ca="1">CONCATENATE($I$13,"\",H29,".mit")</f>
        <v>J:\J6025\Calcs\ParlL_Compliance-1\06a_Outputs_ModelData\100_TM52-overheating.mit</v>
      </c>
      <c r="R29" s="96">
        <v>43705</v>
      </c>
      <c r="S29" s="90" t="s">
        <v>114</v>
      </c>
      <c r="T29" s="90" t="s">
        <v>115</v>
      </c>
      <c r="U29" s="90" t="s">
        <v>96</v>
      </c>
      <c r="V29" s="90"/>
      <c r="W29" s="97"/>
      <c r="X29" s="121"/>
      <c r="Y29" s="90"/>
      <c r="Z29" s="90"/>
      <c r="AA29" s="90"/>
      <c r="AB29" s="90"/>
      <c r="AC29" s="90"/>
      <c r="AD29" s="90"/>
      <c r="AE29" s="90"/>
      <c r="AF29" s="90"/>
      <c r="AG29" s="90"/>
      <c r="AH29" s="90" t="s">
        <v>101</v>
      </c>
      <c r="AI29" s="98"/>
      <c r="AJ29" s="90" t="s">
        <v>116</v>
      </c>
      <c r="AK29" s="99"/>
      <c r="AL29" s="90" t="s">
        <v>121</v>
      </c>
      <c r="AM29" s="90" t="s">
        <v>98</v>
      </c>
      <c r="AN29" s="100"/>
      <c r="AO29" s="90" t="s">
        <v>97</v>
      </c>
      <c r="AP29" s="90"/>
      <c r="AQ29" s="119"/>
      <c r="AR29" s="132" t="s">
        <v>106</v>
      </c>
      <c r="AS29" s="132" t="s">
        <v>106</v>
      </c>
      <c r="AT29" s="112"/>
      <c r="AU29" s="132" t="s">
        <v>99</v>
      </c>
      <c r="AV29" s="132" t="s">
        <v>106</v>
      </c>
    </row>
    <row r="30" spans="1:48" s="91" customFormat="1" ht="249" customHeight="1" x14ac:dyDescent="0.4">
      <c r="F30" s="92"/>
      <c r="G30" s="93"/>
      <c r="H30" s="87" t="str">
        <f>CONCATENATE(M30,"_",N30)</f>
        <v>101_TM52-overheating</v>
      </c>
      <c r="I30" s="88" t="s">
        <v>122</v>
      </c>
      <c r="J30" s="101">
        <v>0</v>
      </c>
      <c r="K30" s="94"/>
      <c r="L30" s="102">
        <f>L29+1</f>
        <v>1</v>
      </c>
      <c r="M30" s="101" t="str">
        <f t="shared" si="1"/>
        <v>101</v>
      </c>
      <c r="N30" s="101" t="s">
        <v>120</v>
      </c>
      <c r="O30" s="95"/>
      <c r="P30" s="90" t="str">
        <f ca="1">CONCATENATE($I$13,,"\",Table4[[#This Row],[model_run]],".xlsx")</f>
        <v>J:\J6025\Calcs\ParlL_Compliance-1\06a_Outputs_ModelData\101_TM52-overheating.xlsx</v>
      </c>
      <c r="Q30" s="90" t="str">
        <f ca="1">CONCATENATE($I$13,"\",H30,".mit")</f>
        <v>J:\J6025\Calcs\ParlL_Compliance-1\06a_Outputs_ModelData\101_TM52-overheating.mit</v>
      </c>
      <c r="R30" s="96">
        <v>43705</v>
      </c>
      <c r="S30" s="90" t="s">
        <v>114</v>
      </c>
      <c r="T30" s="90" t="s">
        <v>115</v>
      </c>
      <c r="U30" s="90" t="s">
        <v>96</v>
      </c>
      <c r="V30" s="90"/>
      <c r="W30" s="97"/>
      <c r="X30" s="121"/>
      <c r="Y30" s="90"/>
      <c r="Z30" s="90"/>
      <c r="AA30" s="90"/>
      <c r="AB30" s="90"/>
      <c r="AC30" s="90"/>
      <c r="AD30" s="90"/>
      <c r="AE30" s="90"/>
      <c r="AF30" s="90"/>
      <c r="AG30" s="90"/>
      <c r="AH30" s="90" t="s">
        <v>101</v>
      </c>
      <c r="AI30" s="98"/>
      <c r="AJ30" s="90" t="s">
        <v>116</v>
      </c>
      <c r="AK30" s="99"/>
      <c r="AL30" s="90" t="s">
        <v>121</v>
      </c>
      <c r="AM30" s="90" t="s">
        <v>98</v>
      </c>
      <c r="AN30" s="100"/>
      <c r="AO30" s="90" t="s">
        <v>97</v>
      </c>
      <c r="AP30" s="90"/>
      <c r="AQ30" s="119"/>
      <c r="AR30" s="132" t="s">
        <v>106</v>
      </c>
      <c r="AS30" s="132" t="s">
        <v>106</v>
      </c>
      <c r="AT30" s="112"/>
      <c r="AU30" s="132" t="s">
        <v>99</v>
      </c>
      <c r="AV30" s="132" t="s">
        <v>106</v>
      </c>
    </row>
    <row r="31" spans="1:48" s="91" customFormat="1" ht="249" customHeight="1" x14ac:dyDescent="0.4">
      <c r="F31" s="92"/>
      <c r="G31" s="93"/>
      <c r="H31" s="87" t="str">
        <f>CONCATENATE(M31,"_",N31)</f>
        <v>102_TM52-overheating</v>
      </c>
      <c r="I31" s="88" t="s">
        <v>122</v>
      </c>
      <c r="J31" s="101">
        <v>0</v>
      </c>
      <c r="K31" s="94"/>
      <c r="L31" s="102">
        <f>L30+1</f>
        <v>2</v>
      </c>
      <c r="M31" s="101" t="str">
        <f t="shared" ref="M31" si="2">CONCATENATE(TEXT((L31-MOD(L31, 10))/100,"1"),TEXT((L31-MOD(L31, 10))/10,"0"),TEXT(MOD(L31,10),"0"))</f>
        <v>102</v>
      </c>
      <c r="N31" s="101" t="s">
        <v>120</v>
      </c>
      <c r="O31" s="95"/>
      <c r="P31" s="90" t="str">
        <f ca="1">CONCATENATE($I$13,,"\",Table4[[#This Row],[model_run]],".xlsx")</f>
        <v>J:\J6025\Calcs\ParlL_Compliance-1\06a_Outputs_ModelData\102_TM52-overheating.xlsx</v>
      </c>
      <c r="Q31" s="90" t="str">
        <f ca="1">CONCATENATE($I$13,"\",H31,".mit")</f>
        <v>J:\J6025\Calcs\ParlL_Compliance-1\06a_Outputs_ModelData\102_TM52-overheating.mit</v>
      </c>
      <c r="R31" s="96">
        <v>43705</v>
      </c>
      <c r="S31" s="90" t="s">
        <v>114</v>
      </c>
      <c r="T31" s="90" t="s">
        <v>115</v>
      </c>
      <c r="U31" s="90" t="s">
        <v>96</v>
      </c>
      <c r="V31" s="90"/>
      <c r="W31" s="97"/>
      <c r="X31" s="121"/>
      <c r="Y31" s="90"/>
      <c r="Z31" s="90"/>
      <c r="AA31" s="90"/>
      <c r="AB31" s="90"/>
      <c r="AC31" s="90"/>
      <c r="AD31" s="90"/>
      <c r="AE31" s="90"/>
      <c r="AF31" s="90"/>
      <c r="AG31" s="90"/>
      <c r="AH31" s="90" t="s">
        <v>101</v>
      </c>
      <c r="AI31" s="98"/>
      <c r="AJ31" s="90" t="s">
        <v>116</v>
      </c>
      <c r="AK31" s="99"/>
      <c r="AL31" s="90" t="s">
        <v>121</v>
      </c>
      <c r="AM31" s="90" t="s">
        <v>98</v>
      </c>
      <c r="AN31" s="100"/>
      <c r="AO31" s="90" t="s">
        <v>97</v>
      </c>
      <c r="AP31" s="90"/>
      <c r="AQ31" s="119"/>
      <c r="AR31" s="132" t="s">
        <v>106</v>
      </c>
      <c r="AS31" s="132" t="s">
        <v>106</v>
      </c>
      <c r="AT31" s="112"/>
      <c r="AU31" s="132" t="s">
        <v>99</v>
      </c>
      <c r="AV31" s="132" t="s">
        <v>106</v>
      </c>
    </row>
    <row r="32" spans="1:48" s="91" customFormat="1" ht="249" customHeight="1" x14ac:dyDescent="0.4">
      <c r="F32" s="92"/>
      <c r="G32" s="93"/>
      <c r="H32" s="87" t="str">
        <f>CONCATENATE(M32,"_",N32)</f>
        <v>103_TM52-overheating</v>
      </c>
      <c r="I32" s="88" t="s">
        <v>124</v>
      </c>
      <c r="J32" s="101">
        <v>1</v>
      </c>
      <c r="K32" s="94"/>
      <c r="L32" s="102">
        <f>L31+1</f>
        <v>3</v>
      </c>
      <c r="M32" s="101" t="str">
        <f t="shared" ref="M32" si="3">CONCATENATE(TEXT((L32-MOD(L32, 10))/100,"1"),TEXT((L32-MOD(L32, 10))/10,"0"),TEXT(MOD(L32,10),"0"))</f>
        <v>103</v>
      </c>
      <c r="N32" s="101" t="s">
        <v>120</v>
      </c>
      <c r="O32" s="95"/>
      <c r="P32" s="90" t="str">
        <f ca="1">CONCATENATE($I$13,,"\",Table4[[#This Row],[model_run]],".xlsx")</f>
        <v>J:\J6025\Calcs\ParlL_Compliance-1\06a_Outputs_ModelData\103_TM52-overheating.xlsx</v>
      </c>
      <c r="Q32" s="90" t="str">
        <f ca="1">CONCATENATE($I$13,"\",H32,".mit")</f>
        <v>J:\J6025\Calcs\ParlL_Compliance-1\06a_Outputs_ModelData\103_TM52-overheating.mit</v>
      </c>
      <c r="R32" s="96">
        <v>43705</v>
      </c>
      <c r="S32" s="90" t="s">
        <v>114</v>
      </c>
      <c r="T32" s="90" t="s">
        <v>115</v>
      </c>
      <c r="U32" s="90" t="s">
        <v>96</v>
      </c>
      <c r="V32" s="90"/>
      <c r="W32" s="97"/>
      <c r="X32" s="121"/>
      <c r="Y32" s="90"/>
      <c r="Z32" s="90"/>
      <c r="AA32" s="90"/>
      <c r="AB32" s="90"/>
      <c r="AC32" s="90">
        <v>0.4</v>
      </c>
      <c r="AD32" s="90"/>
      <c r="AE32" s="90"/>
      <c r="AF32" s="90"/>
      <c r="AG32" s="90">
        <v>3</v>
      </c>
      <c r="AH32" s="90" t="s">
        <v>123</v>
      </c>
      <c r="AI32" s="98"/>
      <c r="AJ32" s="90"/>
      <c r="AK32" s="99"/>
      <c r="AL32" s="90" t="s">
        <v>121</v>
      </c>
      <c r="AM32" s="90" t="s">
        <v>98</v>
      </c>
      <c r="AN32" s="100"/>
      <c r="AO32" s="90" t="s">
        <v>97</v>
      </c>
      <c r="AP32" s="90"/>
      <c r="AQ32" s="119"/>
      <c r="AR32" s="132" t="s">
        <v>106</v>
      </c>
      <c r="AS32" s="132" t="s">
        <v>106</v>
      </c>
      <c r="AT32" s="112"/>
      <c r="AU32" s="132" t="s">
        <v>99</v>
      </c>
      <c r="AV32" s="132" t="s">
        <v>106</v>
      </c>
    </row>
    <row r="33" spans="7:48" ht="236.25" x14ac:dyDescent="0.4">
      <c r="G33" s="93"/>
      <c r="H33" s="122" t="str">
        <f t="shared" ref="H33" si="4">CONCATENATE(M33,"_",N33)</f>
        <v>104_TM52-overheating-LHR_DSY1_2020High50</v>
      </c>
      <c r="I33" s="88" t="s">
        <v>124</v>
      </c>
      <c r="J33" s="123"/>
      <c r="K33" s="124"/>
      <c r="L33" s="18">
        <f t="shared" ref="L33" si="5">L32+1</f>
        <v>4</v>
      </c>
      <c r="M33" s="125" t="str">
        <f t="shared" ref="M33:M34" si="6">CONCATENATE(TEXT((L33-MOD(L33, 10))/100,"1"),TEXT((L33-MOD(L33, 10))/10,"0"),TEXT(MOD(L33,10),"0"))</f>
        <v>104</v>
      </c>
      <c r="N33" s="101" t="s">
        <v>125</v>
      </c>
      <c r="O33" s="126"/>
      <c r="P33" s="90" t="str">
        <f ca="1">CONCATENATE($I$13,,"\",Table4[[#This Row],[model_run]],".xlsx")</f>
        <v>J:\J6025\Calcs\ParlL_Compliance-1\06a_Outputs_ModelData\104_TM52-overheating-LHR_DSY1_2020High50.xlsx</v>
      </c>
      <c r="Q33" s="90" t="str">
        <f t="shared" ref="Q33:Q35" ca="1" si="7">CONCATENATE($I$13,"\",H33,".mit")</f>
        <v>J:\J6025\Calcs\ParlL_Compliance-1\06a_Outputs_ModelData\104_TM52-overheating-LHR_DSY1_2020High50.mit</v>
      </c>
      <c r="R33" s="96">
        <v>43705</v>
      </c>
      <c r="S33" s="90" t="s">
        <v>114</v>
      </c>
      <c r="T33" s="90" t="s">
        <v>115</v>
      </c>
      <c r="U33" s="90" t="s">
        <v>96</v>
      </c>
      <c r="V33" s="123"/>
      <c r="W33" s="127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8"/>
      <c r="AJ33" s="123"/>
      <c r="AK33" s="129"/>
      <c r="AL33" s="123"/>
      <c r="AM33" s="123"/>
      <c r="AN33" s="130"/>
      <c r="AO33" s="123"/>
      <c r="AP33" s="123"/>
      <c r="AQ33" s="131"/>
      <c r="AR33" s="123"/>
      <c r="AS33" s="123"/>
      <c r="AT33" s="133"/>
      <c r="AU33" s="123"/>
      <c r="AV33" s="123"/>
    </row>
    <row r="34" spans="7:48" ht="236.25" x14ac:dyDescent="0.4">
      <c r="G34" s="93"/>
      <c r="H34" s="122" t="str">
        <f t="shared" ref="H34" si="8">CONCATENATE(M34,"_",N34)</f>
        <v>105_TM52-overheating-LHR_DSY2_2020High50</v>
      </c>
      <c r="I34" s="88" t="s">
        <v>124</v>
      </c>
      <c r="J34" s="123"/>
      <c r="K34" s="124"/>
      <c r="L34" s="18">
        <f t="shared" ref="L34" si="9">L33+1</f>
        <v>5</v>
      </c>
      <c r="M34" s="125" t="str">
        <f t="shared" si="6"/>
        <v>105</v>
      </c>
      <c r="N34" s="101" t="s">
        <v>126</v>
      </c>
      <c r="O34" s="126"/>
      <c r="P34" s="90" t="str">
        <f ca="1">CONCATENATE($I$13,,"\",Table4[[#This Row],[model_run]],".xlsx")</f>
        <v>J:\J6025\Calcs\ParlL_Compliance-1\06a_Outputs_ModelData\105_TM52-overheating-LHR_DSY2_2020High50.xlsx</v>
      </c>
      <c r="Q34" s="90" t="str">
        <f t="shared" ca="1" si="7"/>
        <v>J:\J6025\Calcs\ParlL_Compliance-1\06a_Outputs_ModelData\105_TM52-overheating-LHR_DSY2_2020High50.mit</v>
      </c>
      <c r="R34" s="96">
        <v>43705</v>
      </c>
      <c r="S34" s="90" t="s">
        <v>114</v>
      </c>
      <c r="T34" s="90" t="s">
        <v>115</v>
      </c>
      <c r="U34" s="90" t="s">
        <v>96</v>
      </c>
      <c r="V34" s="123"/>
      <c r="W34" s="127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8"/>
      <c r="AJ34" s="123"/>
      <c r="AK34" s="129"/>
      <c r="AL34" s="123"/>
      <c r="AM34" s="123"/>
      <c r="AN34" s="130"/>
      <c r="AO34" s="123"/>
      <c r="AP34" s="123"/>
      <c r="AQ34" s="131"/>
      <c r="AR34" s="123"/>
      <c r="AS34" s="123"/>
      <c r="AT34" s="133"/>
      <c r="AU34" s="123"/>
      <c r="AV34" s="123"/>
    </row>
    <row r="35" spans="7:48" ht="236.25" x14ac:dyDescent="0.4">
      <c r="G35" s="93"/>
      <c r="H35" s="122" t="str">
        <f t="shared" ref="H35:H37" si="10">CONCATENATE(M35,"_",N35)</f>
        <v>106_TM52-overheating-LHR_DSY3_2020High50</v>
      </c>
      <c r="I35" s="88" t="s">
        <v>124</v>
      </c>
      <c r="J35" s="123"/>
      <c r="K35" s="124"/>
      <c r="L35" s="18">
        <f t="shared" ref="L35:L37" si="11">L34+1</f>
        <v>6</v>
      </c>
      <c r="M35" s="125" t="str">
        <f t="shared" ref="M35:M37" si="12">CONCATENATE(TEXT((L35-MOD(L35, 10))/100,"1"),TEXT((L35-MOD(L35, 10))/10,"0"),TEXT(MOD(L35,10),"0"))</f>
        <v>106</v>
      </c>
      <c r="N35" s="101" t="s">
        <v>127</v>
      </c>
      <c r="O35" s="126"/>
      <c r="P35" s="90" t="str">
        <f ca="1">CONCATENATE($I$13,,"\",Table4[[#This Row],[model_run]],".xlsx")</f>
        <v>J:\J6025\Calcs\ParlL_Compliance-1\06a_Outputs_ModelData\106_TM52-overheating-LHR_DSY3_2020High50.xlsx</v>
      </c>
      <c r="Q35" s="90" t="str">
        <f t="shared" ca="1" si="7"/>
        <v>J:\J6025\Calcs\ParlL_Compliance-1\06a_Outputs_ModelData\106_TM52-overheating-LHR_DSY3_2020High50.mit</v>
      </c>
      <c r="R35" s="96">
        <v>43705</v>
      </c>
      <c r="S35" s="90" t="s">
        <v>114</v>
      </c>
      <c r="T35" s="90" t="s">
        <v>115</v>
      </c>
      <c r="U35" s="90" t="s">
        <v>96</v>
      </c>
      <c r="V35" s="123"/>
      <c r="W35" s="127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8"/>
      <c r="AJ35" s="123"/>
      <c r="AK35" s="129"/>
      <c r="AL35" s="123"/>
      <c r="AM35" s="123"/>
      <c r="AN35" s="130"/>
      <c r="AO35" s="123"/>
      <c r="AP35" s="123"/>
      <c r="AQ35" s="131"/>
      <c r="AR35" s="123"/>
      <c r="AS35" s="123"/>
      <c r="AT35" s="133"/>
      <c r="AU35" s="123"/>
      <c r="AV35" s="123"/>
    </row>
    <row r="36" spans="7:48" x14ac:dyDescent="0.4">
      <c r="G36" s="93"/>
      <c r="H36" s="122" t="str">
        <f t="shared" si="10"/>
        <v>107_</v>
      </c>
      <c r="I36" s="123"/>
      <c r="J36" s="123"/>
      <c r="K36" s="124"/>
      <c r="L36" s="18">
        <f t="shared" si="11"/>
        <v>7</v>
      </c>
      <c r="M36" s="125" t="str">
        <f t="shared" si="12"/>
        <v>107</v>
      </c>
      <c r="N36" s="123"/>
      <c r="O36" s="126"/>
      <c r="P36" s="123" t="e">
        <f>CONCATENATE(#REF!,"\",H36,".csv")</f>
        <v>#REF!</v>
      </c>
      <c r="Q36" s="123"/>
      <c r="R36" s="123"/>
      <c r="S36" s="123"/>
      <c r="T36" s="123"/>
      <c r="U36" s="123"/>
      <c r="V36" s="123"/>
      <c r="W36" s="127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8"/>
      <c r="AJ36" s="123"/>
      <c r="AK36" s="129"/>
      <c r="AL36" s="123"/>
      <c r="AM36" s="123"/>
      <c r="AN36" s="130"/>
      <c r="AO36" s="123"/>
      <c r="AP36" s="123"/>
      <c r="AQ36" s="131"/>
      <c r="AR36" s="123"/>
      <c r="AS36" s="123"/>
      <c r="AT36" s="133"/>
      <c r="AU36" s="123"/>
      <c r="AV36" s="123"/>
    </row>
    <row r="37" spans="7:48" x14ac:dyDescent="0.4">
      <c r="G37" s="93"/>
      <c r="H37" s="122" t="str">
        <f t="shared" si="10"/>
        <v>108_</v>
      </c>
      <c r="I37" s="123"/>
      <c r="J37" s="123"/>
      <c r="K37" s="124"/>
      <c r="L37" s="18">
        <f t="shared" si="11"/>
        <v>8</v>
      </c>
      <c r="M37" s="125" t="str">
        <f t="shared" si="12"/>
        <v>108</v>
      </c>
      <c r="N37" s="123"/>
      <c r="O37" s="126"/>
      <c r="P37" s="123" t="e">
        <f>CONCATENATE(#REF!,"\",H37,".csv")</f>
        <v>#REF!</v>
      </c>
      <c r="Q37" s="123"/>
      <c r="R37" s="123"/>
      <c r="S37" s="123"/>
      <c r="T37" s="123"/>
      <c r="U37" s="123"/>
      <c r="V37" s="123"/>
      <c r="W37" s="127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8"/>
      <c r="AJ37" s="123"/>
      <c r="AK37" s="129"/>
      <c r="AL37" s="123"/>
      <c r="AM37" s="123"/>
      <c r="AN37" s="130"/>
      <c r="AO37" s="123"/>
      <c r="AP37" s="123"/>
      <c r="AQ37" s="131"/>
      <c r="AR37" s="123"/>
      <c r="AS37" s="123"/>
      <c r="AT37" s="133"/>
      <c r="AU37" s="123"/>
      <c r="AV37" s="123"/>
    </row>
  </sheetData>
  <conditionalFormatting sqref="J29:K29 M29:AV32">
    <cfRule type="expression" dxfId="67" priority="32">
      <formula>J$26=1</formula>
    </cfRule>
  </conditionalFormatting>
  <conditionalFormatting sqref="K30">
    <cfRule type="expression" dxfId="66" priority="16">
      <formula>K$26=1</formula>
    </cfRule>
  </conditionalFormatting>
  <conditionalFormatting sqref="K31">
    <cfRule type="expression" dxfId="65" priority="13">
      <formula>K$26=1</formula>
    </cfRule>
  </conditionalFormatting>
  <conditionalFormatting sqref="J32:K32">
    <cfRule type="expression" dxfId="64" priority="10">
      <formula>J$26=1</formula>
    </cfRule>
  </conditionalFormatting>
  <conditionalFormatting sqref="J30:J31">
    <cfRule type="expression" dxfId="63" priority="7">
      <formula>J$26=1</formula>
    </cfRule>
  </conditionalFormatting>
  <conditionalFormatting sqref="N33">
    <cfRule type="expression" dxfId="62" priority="6">
      <formula>N$26=1</formula>
    </cfRule>
  </conditionalFormatting>
  <conditionalFormatting sqref="N34">
    <cfRule type="expression" dxfId="61" priority="5">
      <formula>N$26=1</formula>
    </cfRule>
  </conditionalFormatting>
  <conditionalFormatting sqref="N35">
    <cfRule type="expression" dxfId="60" priority="4">
      <formula>N$26=1</formula>
    </cfRule>
  </conditionalFormatting>
  <conditionalFormatting sqref="P33:P35">
    <cfRule type="expression" dxfId="59" priority="3">
      <formula>P$26=1</formula>
    </cfRule>
  </conditionalFormatting>
  <conditionalFormatting sqref="Q33:Q35">
    <cfRule type="expression" dxfId="58" priority="2">
      <formula>Q$26=1</formula>
    </cfRule>
  </conditionalFormatting>
  <conditionalFormatting sqref="R33:U35">
    <cfRule type="expression" dxfId="57" priority="1">
      <formula>R$26=1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TM59_summary">
                <anchor moveWithCells="1" sizeWithCells="1">
                  <from>
                    <xdr:col>5</xdr:col>
                    <xdr:colOff>123825</xdr:colOff>
                    <xdr:row>16</xdr:row>
                    <xdr:rowOff>304800</xdr:rowOff>
                  </from>
                  <to>
                    <xdr:col>7</xdr:col>
                    <xdr:colOff>28575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aunch_jupyter">
                <anchor moveWithCells="1" sizeWithCells="1">
                  <from>
                    <xdr:col>5</xdr:col>
                    <xdr:colOff>104775</xdr:colOff>
                    <xdr:row>19</xdr:row>
                    <xdr:rowOff>295275</xdr:rowOff>
                  </from>
                  <to>
                    <xdr:col>7</xdr:col>
                    <xdr:colOff>9525</xdr:colOff>
                    <xdr:row>21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8"/>
  <sheetViews>
    <sheetView topLeftCell="B1" zoomScaleNormal="100" workbookViewId="0">
      <selection activeCell="E10" sqref="E10"/>
    </sheetView>
  </sheetViews>
  <sheetFormatPr defaultRowHeight="15" x14ac:dyDescent="0.25"/>
  <cols>
    <col min="1" max="1" width="15.7109375" customWidth="1"/>
    <col min="2" max="2" width="2" customWidth="1"/>
    <col min="3" max="3" width="36.28515625" customWidth="1"/>
    <col min="4" max="4" width="1.7109375" customWidth="1"/>
    <col min="5" max="5" width="39.28515625" customWidth="1"/>
    <col min="6" max="6" width="2" customWidth="1"/>
    <col min="7" max="7" width="40.42578125" customWidth="1"/>
    <col min="8" max="8" width="2.28515625" customWidth="1"/>
    <col min="9" max="9" width="30.7109375" customWidth="1"/>
    <col min="11" max="11" width="14" customWidth="1"/>
    <col min="12" max="13" width="12.42578125" customWidth="1"/>
  </cols>
  <sheetData>
    <row r="1" spans="1:14" s="1" customFormat="1" ht="42.75" customHeight="1" thickBot="1" x14ac:dyDescent="0.3">
      <c r="A1" s="1" t="s">
        <v>22</v>
      </c>
      <c r="C1" s="2" t="s">
        <v>14</v>
      </c>
      <c r="D1" s="2"/>
      <c r="E1" s="2" t="s">
        <v>37</v>
      </c>
      <c r="G1" s="2" t="s">
        <v>31</v>
      </c>
      <c r="I1" s="2" t="s">
        <v>52</v>
      </c>
      <c r="K1" s="6" t="s">
        <v>54</v>
      </c>
      <c r="L1" t="s">
        <v>59</v>
      </c>
      <c r="M1" s="12" t="s">
        <v>57</v>
      </c>
      <c r="N1" s="9" t="s">
        <v>26</v>
      </c>
    </row>
    <row r="2" spans="1:14" ht="39" thickBot="1" x14ac:dyDescent="0.3">
      <c r="A2" t="b">
        <v>1</v>
      </c>
      <c r="C2" t="s">
        <v>15</v>
      </c>
      <c r="E2" s="3" t="s">
        <v>38</v>
      </c>
      <c r="G2" s="3" t="s">
        <v>33</v>
      </c>
      <c r="I2" s="3" t="s">
        <v>41</v>
      </c>
      <c r="K2" s="7" t="s">
        <v>55</v>
      </c>
      <c r="L2" t="s">
        <v>3</v>
      </c>
      <c r="M2" s="13">
        <v>0.51900000000000002</v>
      </c>
      <c r="N2" s="10">
        <v>0.216</v>
      </c>
    </row>
    <row r="3" spans="1:14" ht="39" thickBot="1" x14ac:dyDescent="0.3">
      <c r="A3" t="b">
        <v>0</v>
      </c>
      <c r="C3" t="s">
        <v>16</v>
      </c>
      <c r="E3" s="4" t="s">
        <v>39</v>
      </c>
      <c r="G3" s="4" t="s">
        <v>32</v>
      </c>
      <c r="I3" s="4" t="s">
        <v>53</v>
      </c>
      <c r="K3" s="8" t="s">
        <v>56</v>
      </c>
      <c r="L3" t="s">
        <v>58</v>
      </c>
      <c r="M3" s="14">
        <v>0.23300000000000001</v>
      </c>
      <c r="N3" s="11">
        <v>0.21</v>
      </c>
    </row>
    <row r="4" spans="1:14" x14ac:dyDescent="0.25">
      <c r="C4" t="s">
        <v>17</v>
      </c>
      <c r="E4" s="3" t="s">
        <v>40</v>
      </c>
      <c r="G4" s="3" t="s">
        <v>34</v>
      </c>
      <c r="I4" s="3" t="s">
        <v>46</v>
      </c>
    </row>
    <row r="5" spans="1:14" x14ac:dyDescent="0.25">
      <c r="C5" t="s">
        <v>18</v>
      </c>
      <c r="E5" s="4"/>
      <c r="G5" s="4" t="s">
        <v>35</v>
      </c>
      <c r="I5" s="4" t="s">
        <v>13</v>
      </c>
    </row>
    <row r="6" spans="1:14" x14ac:dyDescent="0.25">
      <c r="E6" s="5"/>
      <c r="G6" s="5" t="s">
        <v>36</v>
      </c>
    </row>
    <row r="8" spans="1:14" x14ac:dyDescent="0.25">
      <c r="I8" s="4" t="s">
        <v>42</v>
      </c>
    </row>
    <row r="9" spans="1:14" x14ac:dyDescent="0.25">
      <c r="I9" s="3" t="s">
        <v>43</v>
      </c>
    </row>
    <row r="10" spans="1:14" x14ac:dyDescent="0.25">
      <c r="I10" s="4" t="s">
        <v>44</v>
      </c>
    </row>
    <row r="11" spans="1:14" x14ac:dyDescent="0.25">
      <c r="I11" s="3" t="s">
        <v>45</v>
      </c>
    </row>
    <row r="12" spans="1:14" x14ac:dyDescent="0.25">
      <c r="I12" s="4" t="s">
        <v>46</v>
      </c>
    </row>
    <row r="13" spans="1:14" x14ac:dyDescent="0.25">
      <c r="I13" s="3" t="s">
        <v>47</v>
      </c>
    </row>
    <row r="14" spans="1:14" x14ac:dyDescent="0.25">
      <c r="I14" s="3" t="s">
        <v>48</v>
      </c>
    </row>
    <row r="15" spans="1:14" x14ac:dyDescent="0.25">
      <c r="I15" s="3" t="s">
        <v>49</v>
      </c>
    </row>
    <row r="16" spans="1:14" x14ac:dyDescent="0.25">
      <c r="I16" s="4" t="s">
        <v>50</v>
      </c>
    </row>
    <row r="17" spans="9:9" x14ac:dyDescent="0.25">
      <c r="I17" s="3" t="s">
        <v>51</v>
      </c>
    </row>
    <row r="18" spans="9:9" x14ac:dyDescent="0.25">
      <c r="I18" s="5" t="s">
        <v>13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E44" sqref="E44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workbookViewId="0">
      <selection activeCell="R41" sqref="R4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data_validation</vt:lpstr>
      <vt:lpstr>ref</vt:lpstr>
      <vt:lpstr>Sheet2</vt:lpstr>
    </vt:vector>
  </TitlesOfParts>
  <Company>Max Fordham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Gunstone</dc:creator>
  <cp:lastModifiedBy>John Gunstone</cp:lastModifiedBy>
  <dcterms:created xsi:type="dcterms:W3CDTF">2019-01-12T18:28:22Z</dcterms:created>
  <dcterms:modified xsi:type="dcterms:W3CDTF">2019-12-18T09:52:48Z</dcterms:modified>
</cp:coreProperties>
</file>